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CIE\BMS\outputs\kbms_issue_summary_20260624\"/>
    </mc:Choice>
  </mc:AlternateContent>
  <xr:revisionPtr revIDLastSave="0" documentId="13_ncr:1_{1BA6B9DD-3E13-43A6-A12D-DBB574C86E00}" xr6:coauthVersionLast="36" xr6:coauthVersionMax="36" xr10:uidLastSave="{00000000-0000-0000-0000-000000000000}"/>
  <bookViews>
    <workbookView xWindow="0" yWindow="0" windowWidth="21570" windowHeight="9240" activeTab="1" xr2:uid="{00000000-000D-0000-FFFF-FFFF00000000}"/>
  </bookViews>
  <sheets>
    <sheet name="Dashboard" sheetId="1" r:id="rId1"/>
    <sheet name="Issue Detail" sheetId="2" r:id="rId2"/>
    <sheet name="Next Actions" sheetId="3" r:id="rId3"/>
    <sheet name="Source Notes" sheetId="4" r:id="rId4"/>
  </sheets>
  <calcPr calcId="191029"/>
</workbook>
</file>

<file path=xl/calcChain.xml><?xml version="1.0" encoding="utf-8"?>
<calcChain xmlns="http://schemas.openxmlformats.org/spreadsheetml/2006/main">
  <c r="E10" i="1" l="1"/>
  <c r="H9" i="1"/>
  <c r="E9" i="1"/>
  <c r="H8" i="1"/>
  <c r="E8" i="1"/>
  <c r="B8" i="1"/>
  <c r="H7" i="1"/>
  <c r="E7" i="1"/>
  <c r="B7" i="1"/>
  <c r="H6" i="1"/>
  <c r="E6" i="1"/>
  <c r="B6" i="1"/>
  <c r="H5" i="1"/>
  <c r="E5" i="1"/>
  <c r="B5" i="1"/>
</calcChain>
</file>

<file path=xl/sharedStrings.xml><?xml version="1.0" encoding="utf-8"?>
<sst xmlns="http://schemas.openxmlformats.org/spreadsheetml/2006/main" count="966" uniqueCount="321">
  <si>
    <t>KBMS Production Issue Summary</t>
  </si>
  <si>
    <t>Source: C:/Users/60893/Downloads/Production_KBMS_issue log_202511203.xlsx | Generated: 2026-06-24 | Check: issue log + current source code</t>
  </si>
  <si>
    <t>Issue Log Status</t>
  </si>
  <si>
    <t>Count</t>
  </si>
  <si>
    <t>System Check Status</t>
  </si>
  <si>
    <t>Priority</t>
  </si>
  <si>
    <t>Done</t>
  </si>
  <si>
    <t>ยังไม่แก้</t>
  </si>
  <si>
    <t>Very High</t>
  </si>
  <si>
    <t>Open/blank</t>
  </si>
  <si>
    <t>แก้บางส่วน</t>
  </si>
  <si>
    <t>High</t>
  </si>
  <si>
    <t>Re-open</t>
  </si>
  <si>
    <t>รอ deploy/UAT</t>
  </si>
  <si>
    <t>Medium</t>
  </si>
  <si>
    <t>Cancelled</t>
  </si>
  <si>
    <t>ต้องตรวจ production data</t>
  </si>
  <si>
    <t>Low</t>
  </si>
  <si>
    <t>แก้แล้วใน code</t>
  </si>
  <si>
    <t>blank</t>
  </si>
  <si>
    <t>ยกเลิกตาม issue log</t>
  </si>
  <si>
    <t>Top Open Items To Follow Up</t>
  </si>
  <si>
    <t>Issue No</t>
  </si>
  <si>
    <t>System Status</t>
  </si>
  <si>
    <t>Page</t>
  </si>
  <si>
    <t>Summary</t>
  </si>
  <si>
    <t>Next Action</t>
  </si>
  <si>
    <t>Match Actual PO</t>
  </si>
  <si>
    <t>กรณีหาคู่ไม่เจอ / mannual match ไม่ได้</t>
  </si>
  <si>
    <t>เพิ่ม manual selection/search และ validation rule</t>
  </si>
  <si>
    <t>Create Switch</t>
  </si>
  <si>
    <t>กรณีทำรายการ switch ถ้าไม่ใช่เดือนเดียวกันให้ไฮไลท์สีเหลือง และมี remark warning ว่า "เดือนไม่สอดคล้องกัน"</t>
  </si>
  <si>
    <t>เพิ่ม month mismatch validation + yellow warning ใน preview</t>
  </si>
  <si>
    <t>Create Draft PO</t>
  </si>
  <si>
    <t>ระบบสามารถดึง rate po ในระบบ sap มาได้</t>
  </si>
  <si>
    <t>เพิ่ม SAP rate lookup หรือยืนยันว่า user upload rate เอง</t>
  </si>
  <si>
    <t>ยก balance ในระบบ KBMS ได้อัติโนมัติ</t>
  </si>
  <si>
    <t>ออกแบบ carry balance job/rule และ audit</t>
  </si>
  <si>
    <t>อ้างอิงตามข้อ 58 : เมื่อ switch budget ตอนหน้า previwe หากมีจุดทศนิยม ให้ระบบ ไฮไลท์สีเหลือง เพื่อแจ้งเตือนให้รีวิวยอดอีกครั้ง</t>
  </si>
  <si>
    <t>เพิ่ม decimal detection/highlight ตาม requirement</t>
  </si>
  <si>
    <t>หน้า preview data เมื่อแสดงบอกว่า budget ไม่พอให้เพิ่มรายละเอียดคอลัม cate / brand **ตามตัวอย่างชีส ISSUE#38**</t>
  </si>
  <si>
    <t>เพิ่ม column context ใน error preview</t>
  </si>
  <si>
    <t>คีย์ข้อมูล brand , vendor สามารถให้ข้อมูล segment แสดงโดยอัติโนมัติ</t>
  </si>
  <si>
    <t>เพิ่ม mapping rule brand/vendor -&gt; segment</t>
  </si>
  <si>
    <t>Draft PO</t>
  </si>
  <si>
    <t>ในหมวดที่ให้เลือก สามารถ fiter เลือกหลาย cate / segment / company / brand / vendor / month / year</t>
  </si>
  <si>
    <t>ปรับ UI เป็น multi-select และแก้ query ให้รับหลายค่า</t>
  </si>
  <si>
    <t>สามารถ fiter Draft po date</t>
  </si>
  <si>
    <t>เพิ่ม from/to Draft PO date filter ใน UI และ handler</t>
  </si>
  <si>
    <t>OTB Remaining</t>
  </si>
  <si>
    <t>ปรับ multi-select และ SQL WHERE IN</t>
  </si>
  <si>
    <t>Sort Rank</t>
  </si>
  <si>
    <t>Type</t>
  </si>
  <si>
    <t>Original Detail</t>
  </si>
  <si>
    <t>Why / Evidence</t>
  </si>
  <si>
    <t>Code Evidence</t>
  </si>
  <si>
    <t>Created Date</t>
  </si>
  <si>
    <t>Resolved Date</t>
  </si>
  <si>
    <t>Issue Remark</t>
  </si>
  <si>
    <t>Manual match ยังหา Draft pair ตาม key; ยังไม่รองรับ no-pair free matching</t>
  </si>
  <si>
    <t>Handler/POMatchingHandler.ashx.vb:81-117</t>
  </si>
  <si>
    <t>ไม่พบข้อความ/สี warning เดือนไม่สอดคล้องกัน</t>
  </si>
  <si>
    <t>ไม่พบ logic ดึง PO rate จาก SAP สำหรับ Create Draft PO</t>
  </si>
  <si>
    <t>user ขอพิจารณาอีกครั้ง</t>
  </si>
  <si>
    <t>ไม่พบ auto carry balance ใน code ที่ตรวจ</t>
  </si>
  <si>
    <t>ไม่พบ decimal highlight yellow ใน switch budget preview</t>
  </si>
  <si>
    <t>Preview budget insufficient ยังไม่เห็น cate/brand context ตามที่ขอครบ</t>
  </si>
  <si>
    <t>ADJUST</t>
  </si>
  <si>
    <t>ไม่พบ auto-fill Segment จาก Brand/Vendor</t>
  </si>
  <si>
    <t>หน้า Draft PO filter ยังเป็น single-value select</t>
  </si>
  <si>
    <t>draftPO.aspx:489-519; otbRemaining.aspx:356-392; approvedOTB.aspx:348-391</t>
  </si>
  <si>
    <t>Draft PO มี column date แต่ไม่พบ date filter</t>
  </si>
  <si>
    <t>draftPO.aspx:199,489-519</t>
  </si>
  <si>
    <t>CR</t>
  </si>
  <si>
    <t>OTB Remaining filter ยังเป็น single-value select</t>
  </si>
  <si>
    <t>19/12/25</t>
  </si>
  <si>
    <t>Draft OTB</t>
  </si>
  <si>
    <t>Draft OTB filter ยังเป็น single-value select</t>
  </si>
  <si>
    <t>ปรับ multi-select และ handler</t>
  </si>
  <si>
    <t>Approved OTB</t>
  </si>
  <si>
    <t>Approved OTB filter ยังเป็น single-value select</t>
  </si>
  <si>
    <t>สามารถถอย Actual PO / Draft ที่ match ไปแล้วได้</t>
  </si>
  <si>
    <t>ไม่พบ UI/function rollback matched Actual/Draft แบบ user action</t>
  </si>
  <si>
    <t>ออกแบบ rollback/unmatch flow พร้อม audit log</t>
  </si>
  <si>
    <t>ไม่แน่ใจว่า user สามารถทำได้เองไหม</t>
  </si>
  <si>
    <t>Actual PO</t>
  </si>
  <si>
    <t>ตรงช่อง Remark ให้ดึงข้อมูลเหมือนช่อง Remark ในหน้า Draft PO - เช่นในหน้า draft po remark ว่า PO OVER แต่ในหน้า actual po ช่อง remark ไม่มี **ตัวอย่างชีส ISS...</t>
  </si>
  <si>
    <t>ตรงช่อง Remark ให้ดึงข้อมูลเหมือนช่อง Remark ในหน้า Draft PO - เช่นในหน้า draft po remark ว่า PO OVER แต่ในหน้า actual po ช่อง remark ไม่มี **ตัวอย่างชีส ISSUE#43**</t>
  </si>
  <si>
    <t>Actual PO report ใช้ Actual_PO_Summary.Remark ไม่ได้ propagate Draft remark ชัดเจน</t>
  </si>
  <si>
    <t>Join/copy Draft PO remark ไป Actual report ตาม rule</t>
  </si>
  <si>
    <t>database/03_create_stored_procedures.sql:43</t>
  </si>
  <si>
    <t>เมื่อใส่ remark ใน Template Upload และ upload ข้อมูลแล้ว / remark ไม่โชว์ในหน้า draft ต้องมา edit เพิ่มในหน้า draft แทน**ตัวอย่างชีส ISSUE#50**</t>
  </si>
  <si>
    <t>Draft PO upload template remark ไม่ถูก save; BuildDraftPOBulkTable set Remark = DBNull</t>
  </si>
  <si>
    <t>เพิ่ม Remark ใน FrontendPORow/preview/save/bulk table</t>
  </si>
  <si>
    <t>Handler/POUploadHandler.ashx.vb:274,313</t>
  </si>
  <si>
    <t>remark ที่ระบุในหน้า draft po ไม่ขึ้นโชว์ในหน้า actual po **ตัวอย่างชีส ISSUE#51**</t>
  </si>
  <si>
    <t>Actual PO remark ยังไม่ดึง Draft PO remark เช่น PO OVER</t>
  </si>
  <si>
    <t>ปรับ SP/report ให้แสดง Draft remark เมื่อ Actual matched</t>
  </si>
  <si>
    <t>รายการตอนอัปโหลดไฟล์ดราฟ ช่อง No. ยังไม่เริ่มที่ลำดับตาม excel</t>
  </si>
  <si>
    <t>Draft PO upload row no ยังเป็น i + 1 ไม่ใช่ Excel row sequence จริง</t>
  </si>
  <si>
    <t>แก้ RowIndex เป็น Excel row และ UAT</t>
  </si>
  <si>
    <t>เมื่ออัปโหลดไฟล์ดราฟแล้ว budget ไม่พอ ระบบแจ้งเตือนหน้าต่างโดยข้อความที่แจ้งไม่สอดคล้องกัน (อัปโหลดคนละแบรนด์) **ตัวอย่างชีส ISSUE#61**</t>
  </si>
  <si>
    <t>ข้อความ over budget ยัง generic และบาง preview context ไม่ครบ</t>
  </si>
  <si>
    <t>ปรับ error message ให้ระบุ brand/category/remaining ชัดเจน</t>
  </si>
  <si>
    <t>class/POValidate.vb:342</t>
  </si>
  <si>
    <t>Copy วาง Amount THB ไม่ได้</t>
  </si>
  <si>
    <t>ไม่พบ logic รองรับ copy/paste Amount THB ในหน้า Create Switch</t>
  </si>
  <si>
    <t>แก้ UI input/paste handler และทดสอบ paste จาก Excel</t>
  </si>
  <si>
    <t>Copy Amount CCY (ที่เป็น rate THB=1) มาวาง แต่ข้อมูล Amont THB แสดงข้อมูลไม่ถูกต้อง</t>
  </si>
  <si>
    <t>ไม่พบ fix ชัดเจนสำหรับ copy Amount CCY แล้ว Amount THB ผิดเมื่อ rate = 1</t>
  </si>
  <si>
    <t>ตรวจ JS calculation ใน Create Draft PO และเพิ่ม test paste/calculate</t>
  </si>
  <si>
    <t>investigate ว่าทำได้ไหม แต่น่าจะยาก</t>
  </si>
  <si>
    <t>Switch TXN</t>
  </si>
  <si>
    <t>แสดงข้อมูลให้พอดีหน้า และ freeze หัวข้อ</t>
  </si>
  <si>
    <t>ไม่พบ implementation ชัดเจนเรื่อง fit page/freeze header ใน Switch TXN</t>
  </si>
  <si>
    <t>ปรับ DataTable/fixed header และทดสอบ viewport</t>
  </si>
  <si>
    <t>ทุกหน้า ข้อมูลที่อยู่ในส่วนด้านล่าง เปลี่ยนเฉดสีให้อยู่ระหว่างสองเฉดตามกรอบสีแดง</t>
  </si>
  <si>
    <t>เป็น cosmetic color shade; ไม่พบหลักฐาน fix เฉพาะใน code</t>
  </si>
  <si>
    <t>ยืนยัน mockup สีและปรับ CSS</t>
  </si>
  <si>
    <t>เปลี่ยนสี 1. ยอดที่ตรงกัน 100% (สีดำล้วน) &gt; เปลี่ยนเป็นแถบสีเขียว 2. ยอดที่ตัวหนังสีเหลือง &gt; เปลี่ยนเป็นตัวหนังสือสีดำ และเป็นแถบสีเหลือง และสามารถ filter เพ...</t>
  </si>
  <si>
    <t>เปลี่ยนสี 1. ยอดที่ตรงกัน 100% (สีดำล้วน) &gt; เปลี่ยนเป็นแถบสีเขียว 2. ยอดที่ตัวหนังสีเหลือง &gt; เปลี่ยนเป็นตัวหนังสือสีดำ และเป็นแถบสีเหลือง และสามารถ filter เพื่อเลือกแถบสีได้</t>
  </si>
  <si>
    <t>ไม่พบ filter by color / color-change logic ใน Match Actual PO</t>
  </si>
  <si>
    <t>กำหนดสี/สถานะและเพิ่ม filter</t>
  </si>
  <si>
    <t>System เปิดยอดน้อยกว่าใน Draft ที่คีย์ ระบบมันไม่ match ให้ / แต่พอ update ยอดให้เท่ากับ actual ที่เปิดระบบถึง match</t>
  </si>
  <si>
    <t>Auto-match fuzzy amount รองรับภายใน tolerance 10%; ถ้าต่างมากกว่านั้นยังไม่ match</t>
  </si>
  <si>
    <t>ยืนยัน tolerance business และปรับ matching rule</t>
  </si>
  <si>
    <t>database/03_create_stored_procedures.sql:1009-1058</t>
  </si>
  <si>
    <t>ไม่่แน่ใจว่าเคสนี้แก้หรือยัง</t>
  </si>
  <si>
    <t>คีย์ดราฟ po ต่างกันสองเลข แต่ cate / ยอด เดียวกัน 1. ทีม system เปิด po ไปเลขแรกก่อน แล้ว po แรกถูก match เรียบร้อยไปแล้ว 2. ทีม system เปิด po ไปอีก 1 เลข แ...</t>
  </si>
  <si>
    <t>คีย์ดราฟ po ต่างกันสองเลข แต่ cate / ยอด เดียวกัน 1. ทีม system เปิด po ไปเลขแรกก่อน แล้ว po แรกถูก match เรียบร้อยไปแล้ว 2. ทีม system เปิด po ไปอีก 1 เลข แต่ทางจัดซื้อแจ้งยกเลิก po แรกและให้ใช้ po ที่สอง 3. ทีม system ทำการยกเลิก po แรกใน sap 4. ทำให้ในหน้า Match actual po เจอ po ที่สองไม่มีคู่ 5. ซึ่งต้องถอย actual po แรกที่ match ไปแล้วให้กลับมาเป็น status draft เพื่อทำการ match po ที่สอง 6. ทำให้ po แรกที่ถูกถอยที่ทาง system ยกเลิก po ใน sap เห็นค่าเป็น 0 คำถาม : ระบบสามารถจับเลข po ที่เปลี่ยนไปในยอด amout เดิม cate เดิม โดยอ้างอิงจากที่ทาง system ยกเลิกในระบบ sap ได้หรือไม่ ทำให้ไม่ต้องมาหาคู่ใหม่อีกครั้ง **ล่าสุดเคสพี่เปิ้ล** **ตัวอย่างชีส ISSUE#41**</t>
  </si>
  <si>
    <t>รองรับ moved/stale row บางกรณี แต่ยังไม่ใช่ auto detect เปลี่ยน PO number/cate/amount แบบทั่วไป</t>
  </si>
  <si>
    <t>กำหนด rule detection จาก SAP cancellation/change แล้วเพิ่ม logic</t>
  </si>
  <si>
    <t>Handler/POMatchingHandler.ashx.vb:788-861</t>
  </si>
  <si>
    <t>เปลี่ยนข้อมูลทุกหน้าของ report ในส่วนที่เป็น Genral ให้เป็น number เนื่องจากมีผลเวลา pivot ข้อมูลจะไม่มา **ตัวอย่างตามชีส ISSUE#49**</t>
  </si>
  <si>
    <t>บาง export format Decimal เป็น number แล้ว แต่ยังไม่ยืนยันทุก report field</t>
  </si>
  <si>
    <t>ไล่ทุก export/report และกำหนด numeric format ทั้งหมด</t>
  </si>
  <si>
    <t>Handler/DataOTBHandler.ashx.vb:344-365</t>
  </si>
  <si>
    <t>bulk upload switch รายละเอียดหน้าก่อน confirm มี com/vendor/brand/segment แต่เมื่อ upload results มีเฉพาะ com/vendor **ตัวอย่างชีส ISSUE#52**</t>
  </si>
  <si>
    <t>Backend มีชื่อ category/segment/brand แต่ upload result UI ยังโชว์หลัก ๆ แค่ company/vendor</t>
  </si>
  <si>
    <t>ปรับ renderBulkResults ให้แสดงครบทุก dimension</t>
  </si>
  <si>
    <t>createOTBswitching.aspx:604-614</t>
  </si>
  <si>
    <t>field create date ของหน้า switch transaction ตรง time stamp ขอหลักวินาทีด้วย</t>
  </si>
  <si>
    <t>หน้า Switch TXN แสดง seconds แล้ว แต่ export/บาง formatter ยังใช้ HH:mm</t>
  </si>
  <si>
    <t>ปรับ export/ทุก formatter ให้ใช้ HH:mm:ss ถ้าต้องการสอดคล้อง</t>
  </si>
  <si>
    <t>Handler/DataOTBHandler.ashx.vb:194,713</t>
  </si>
  <si>
    <t>ในหน้า preview upload draft po จะให้ระบบ ช่วยแสดงบรรรทัด Row ใน Excel เพื่อให้ user investigate บรรทัดที่มีปัญหาได้</t>
  </si>
  <si>
    <t>เอกสารระบุ Done แต่ code Draft PO upload ยัง set RowIndex = i + 1 ไม่ใช่เลขแถว Excel จริง</t>
  </si>
  <si>
    <t>แก้เป็น Excel row number และ UAT ร่วมกับ #57</t>
  </si>
  <si>
    <t>ISSUE</t>
  </si>
  <si>
    <t>Actual PO ที่ SAP กับที่ KBMS ไม่ตรงกันในบางวัน</t>
  </si>
  <si>
    <t>Issue log เป็น Re-open; code มี logic sync/moved row แต่ต้องยืนยัน deploy production</t>
  </si>
  <si>
    <t>Deploy DB/handler แล้วเทียบ SAP vs KBMS รายวัน</t>
  </si>
  <si>
    <t>Handler/POMatchingHandler.ashx.vb:917-929</t>
  </si>
  <si>
    <t>7/1/26 - Check result ที่ UAT เจอว่ามีข้อมูล แต่ PO Date ไม่ถูกต้อง (แก้ไขแล้ว) 5/1/26 - พี่กู่ Dev เสร็จแล้วรอ Deploy ขึ้น UAT Target test - 6/1/25 แล้วขึ้น Prod</t>
  </si>
  <si>
    <t>ตอนอัปโหลด plan budget / revised / switch ไม่สามารถอัปโหลดข้อมูลที่มีมากกว่า 300 บรรทัดได้</t>
  </si>
  <si>
    <t>ไม่พบ hard limit 300 rows ใน code; มี BulkCopy และ timeout 300 วินาที จึงอาจเป็น timeout/request/SAP payload</t>
  </si>
  <si>
    <t>ทดสอบ upload &gt;300 rows บน production-like env และดู log timeout/API</t>
  </si>
  <si>
    <t>Handler/UploadHandler.ashx.vb:540,803; Handler/POUploadHandler.ashx.vb:137; Web.config:35</t>
  </si>
  <si>
    <t>ในส่วนของ Export TXN Report ที่ออกมาหมวดของ Out ให้แสดงข้อมูลโชว์เครื่องหมายติดลบ ซึ่งจะมีผลกับ total budget ที่ต้องเปลี่ยนวิธีการคำนวณใหม่</t>
  </si>
  <si>
    <t>Report คำนวณ switch out/balance out/carry out เป็นลบใน total</t>
  </si>
  <si>
    <t>UAT Export TXN Out categories</t>
  </si>
  <si>
    <t>Handler/DataOTBHandler.ashx.vb:38-60,1965</t>
  </si>
  <si>
    <t>หน้า actual po ถูก match ไปแล้ว แต่หน้า draft ยังเป็น status draft ทำให้หน้า remaing ติดลบ **ตัวอย่างชีส ISSUE#42**</t>
  </si>
  <si>
    <t>Auto-match update Draft status เป็น Matching และ clear/release stale reference</t>
  </si>
  <si>
    <t>รัน data repair/UAT remaining negative</t>
  </si>
  <si>
    <t>database/03_create_stored_procedures.sql:977-1092</t>
  </si>
  <si>
    <t>ระบบให้ switch budget ได้ ทั้งที่ budget ไม่พอ ทำให้ remaing ติดลบ</t>
  </si>
  <si>
    <t>Manual/bulk switch มี available budget validation</t>
  </si>
  <si>
    <t>UAT switch over budget แล้วต้อง block</t>
  </si>
  <si>
    <t>Handler/ValidateHandler.ashx.vb:322-411; Handler/SwitchUploadHandler.ashx.vb:201,264,422</t>
  </si>
  <si>
    <t>ระบบให้ create draft po ได้ (upload) ทั้งที่ budget ไม่พอทำให้ remaing ติดลบ</t>
  </si>
  <si>
    <t>Draft PO upload ใช้ aggregate budget validation ก่อน save</t>
  </si>
  <si>
    <t>UAT upload over budget</t>
  </si>
  <si>
    <t>class/POValidate.vb:86,342</t>
  </si>
  <si>
    <t>Refer issue #45 ระบบให้้ switch bduget ได้ทั้งที่ budget ไม่พอทำให้ remaing ติดลบ **เคสแบรนด์ chy**</t>
  </si>
  <si>
    <t>Bulk switch upload เช็ค remaining และ used in batch</t>
  </si>
  <si>
    <t>UAT brand CHY case</t>
  </si>
  <si>
    <t>Handler/SwitchUploadHandler.ashx.vb:201,264,422</t>
  </si>
  <si>
    <t>Refer issue #46 ระบบให้ upload file draft ได้ทั้งที่ budget ไม่พอ ทำให้ remaing ติดลบ</t>
  </si>
  <si>
    <t>เหมือน #46: upload Draft PO over budget ถูก validate ก่อน save</t>
  </si>
  <si>
    <t>UAT upload over budget case เดิม</t>
  </si>
  <si>
    <t>เมื่ื่อระบบ Matched แล้ว แต่ยอด Draft PO ยังไม่เป็น 0</t>
  </si>
  <si>
    <t>Matched Draft/Actual update amount/status/ref และ remaining ใช้ usage calc ใหม่</t>
  </si>
  <si>
    <t>UAT matched amount zero/remaining</t>
  </si>
  <si>
    <t>database/03_create_stored_procedures.sql:977-1092; Handler/DataOTBRemainingHandler.ashx.vb:212</t>
  </si>
  <si>
    <t>เรื่องจุดทศนิยม เดิมใน BMS ระบบส่งค่าตามที่ user อัปโหลดเลย เมื่อมีทศนิยมเกิน 3 ตำแหน่งระบบจะไม่ได้ปัดให้</t>
  </si>
  <si>
    <t>Amount ถูก round/format ก่อนส่ง SAP</t>
  </si>
  <si>
    <t>UAT decimal &gt; 3 ตำแหน่ง</t>
  </si>
  <si>
    <t>class/share_class.vb:189-208</t>
  </si>
  <si>
    <t>พี่กู่แก้ไขแล้ว</t>
  </si>
  <si>
    <t>เพิ่มบรรทัด Total Actual + Draft PO</t>
  </si>
  <si>
    <t>OTB Remaining มี Total Actual + Draft PO แล้ว</t>
  </si>
  <si>
    <t>UAT remaining/export</t>
  </si>
  <si>
    <t>Handler/DataOTBRemainingHandler.ashx.vb:212</t>
  </si>
  <si>
    <t>เพิ่ิ่มหัวข้อคอลัม Actual PO / Draft PO / Total Actual + Draft PO ในหัวข้อ Export Summary **ให้เหมือนในหัวข้อ Export TXN ตามตัวอย่างชีส ISSUE#31**</t>
  </si>
  <si>
    <t>Export summary เพิ่ม Actual PO/Draft PO/Total Actual + Draft PO</t>
  </si>
  <si>
    <t>UAT export summary ตามตัวอย่าง</t>
  </si>
  <si>
    <t>Handler/DataOTBHandler.ashx.vb:1521,1965,2095</t>
  </si>
  <si>
    <t>mannual match จับคู่แล้ว แต่พอกด syn sap ข้อมูลที่จับคู่หาย</t>
  </si>
  <si>
    <t>Manual match เก็บ Draft_PO_ID_Ref และ sync preserve matched/force matching</t>
  </si>
  <si>
    <t>UAT manual match แล้ว sync SAP</t>
  </si>
  <si>
    <t>Handler/POMatchingHandler.ashx.vb:148,158</t>
  </si>
  <si>
    <t>1.PO2011009169 เปิด po ไปแล้วในเดือน mar และ matched ไปแล้ว 2.จัดซื้อแจ้งย้าย po นี้จากเดือน mar มาเดือน feb และทาง system ย้ายในระบบ sap แล้ว 3.แต่มาเชคใน b...</t>
  </si>
  <si>
    <t>1.PO2011009169 เปิด po ไปแล้วในเดือน mar และ matched ไปแล้ว 2.จัดซื้อแจ้งย้าย po นี้จากเดือน mar มาเดือน feb และทาง system ย้ายในระบบ sap แล้ว 3.แต่มาเชคใน bms เดือน mar ยังคงมียอดใน actual po อยู่ **ตัวอย่างชีส ISSUE#54**</t>
  </si>
  <si>
    <t>Sync handles PO moved month/stale rows</t>
  </si>
  <si>
    <t>UAT PO2011009169 Feb/Mar</t>
  </si>
  <si>
    <t>ระบบ match po เลขเดียวกันหลาย cate **ตัวอย่างชีส ISSUE#40**</t>
  </si>
  <si>
    <t>Matching ใช้ business key รวม category/segment/brand/vendor ไม่ใช่ PO no อย่างเดียว</t>
  </si>
  <si>
    <t>UAT sheet ISSUE#40</t>
  </si>
  <si>
    <t>มีรายการ GPO เข้ามาใหน้า match PO ** ปัจจุบันข้อมูลเส้น API ที่ BBIK ทำมาไม่มีข้อมูลว่าเป็น GPO ต้องขอให้ส่ง Status มาด้วยแยกเป็น GPO หรือ Non GPO</t>
  </si>
  <si>
    <t>API/matching มี logic แยกสถานะและ business key แล้ว</t>
  </si>
  <si>
    <t>UAT sync Actual PO และตรวจว่า GPO/Non GPO ไม่เข้าผิด flow</t>
  </si>
  <si>
    <t>Question</t>
  </si>
  <si>
    <t>ตรง Action By ไม่แน่ใจว่าต้องเป็นชื่อคนสร้าง Draft หรือเป็นชื่อคนที่ Matching??</t>
  </si>
  <si>
    <t>Action By/Status By ถูกเก็บและแสดงตามสถานะแล้ว</t>
  </si>
  <si>
    <t>UAT รายงาน Draft/Actual status history</t>
  </si>
  <si>
    <t>Handler/DataPOHandler.ashx.vb:546,671</t>
  </si>
  <si>
    <t>5/1/26 - ขึ้นอยู่กับ Status ถ้า Staus = Draft &gt; Action by = คน Create draft ถ้า Status = Matching &gt; Action by = คนกด Sync SAP ถ้า Status = Matched &gt; Action by = คนกด Confirmed Matched</t>
  </si>
  <si>
    <t>บันทึก Draft PO no. ซ้ำกันไม่ได้</t>
  </si>
  <si>
    <t>Draft PO upload/manual ใช้ duplicate validation แล้ว</t>
  </si>
  <si>
    <t>UAT duplicate Draft PO no. ทั้ง manual และ upload</t>
  </si>
  <si>
    <t>edit รายการ แล้วกด save Status ขึ้น edit แต่รายการไม่เปลี่ยนตามที่เรา edit</t>
  </si>
  <si>
    <t>Edit Draft PO update field/status/remark แล้ว</t>
  </si>
  <si>
    <t>UAT edit/save แล้ว reload data</t>
  </si>
  <si>
    <t>Handler/DataPOHandler.ashx.vb:321-355</t>
  </si>
  <si>
    <t>1. upload ไฟล์ Draft PO จังหวะตอนหน้า preview data ข้อมูลผ่านหมด (ไม่ติด budget) แต่พอกด submit แล้วเด้งไปอีกหน้าขึ้น error (ติด budget) 2. กดกากบาทออกแล้วข้...</t>
  </si>
  <si>
    <t>1. upload ไฟล์ Draft PO จังหวะตอนหน้า preview data ข้อมูลผ่านหมด (ไม่ติด budget) แต่พอกด submit แล้วเด้งไปอีกหน้าขึ้น error (ติด budget) 2. กดกากบาทออกแล้วข้อมูลที่ budget เพียงพอไปขึ้นในหน้า Draft PO แล้ว ข้อมูลควรจะยังไม่ไปเกิดเป็น Draft PO</t>
  </si>
  <si>
    <t>Upload Draft PO re-validate ก่อน save และใช้ transaction ไม่ควร partial save</t>
  </si>
  <si>
    <t>UAT mixed pass/fail upload</t>
  </si>
  <si>
    <t>Handler/POUploadHandler.ashx.vb:57,110,137</t>
  </si>
  <si>
    <t>ึ5/1/26 - ขอ Folllow-up ว่ายังมี Event นี้อยู่ไหม ถึงค่อยปิดเคสนี้ได้</t>
  </si>
  <si>
    <t>Report</t>
  </si>
  <si>
    <t>Excel Report Actual ดึง report มาดูแล้ว ค่าใน Field Company หายไป</t>
  </si>
  <si>
    <t>Actual report/export มี Company field แล้ว</t>
  </si>
  <si>
    <t>UAT export Actual PO report</t>
  </si>
  <si>
    <t>Handler/DataPOHandler.ashx.vb:585-610</t>
  </si>
  <si>
    <t>มี Draft PO ที่ Status ยังค้างเป็น Matching ทั้งๆที่ Matched ไปแล้ว List Draft PO ที่มีปัญหาได้แก่ 1. KPT-LLQ-11/25-155_TAN 2. 2011006839_9 3. 2011006839_3 4...</t>
  </si>
  <si>
    <t>มี Draft PO ที่ Status ยังค้างเป็น Matching ทั้งๆที่ Matched ไปแล้ว List Draft PO ที่มีปัญหาได้แก่ 1. KPT-LLQ-11/25-155_TAN 2. 2011006839_9 3. 2011006839_3 4. 2011007382_4 5. 2011007382_2 6. 2011008008_4 7. 2011008008_3</t>
  </si>
  <si>
    <t>Confirm match update Draft/Actual เป็น Matched พร้อม status date/by</t>
  </si>
  <si>
    <t>UAT confirm match</t>
  </si>
  <si>
    <t>Handler/POMatchingHandler.ashx.vb:475,510</t>
  </si>
  <si>
    <t>Bulk upload switch OTB</t>
  </si>
  <si>
    <t>มี flow bulk upload switch OTB แล้ว</t>
  </si>
  <si>
    <t>UAT bulk switch upload กับ SAP response</t>
  </si>
  <si>
    <t>ยังเจอว่า 1 draft po no. ยังไป match actual po ได้หลาย actual po อยู่ &gt; จริงๆ ถ้า draft po ไป match กับใครแล้ว จะต้องไม่เอาตัวนั้นไป match กับ actual ตัวอื่น</t>
  </si>
  <si>
    <t>Final match table บังคับ Actual/Draft unique กัน Draft เดียว match หลาย Actual</t>
  </si>
  <si>
    <t>UAT PO ที่เคย duplicate</t>
  </si>
  <si>
    <t>กรณีที่มีการกดปุ่ม view data หรือ syn sap หากเจอว่ามีคู่ draft po/actual po ที่ amount มันตรงเงื่อนไขกว่า มันไม่จับคู่ใหม่ให้</t>
  </si>
  <si>
    <t>Auto-match rank หา best pair และกันคู่ที่ถูกใช้แล้ว</t>
  </si>
  <si>
    <t>UAT sync/rematch case เดิม</t>
  </si>
  <si>
    <t>กรณีที่มีการแก้ไขแค่ draft po no. แต่ amount ไม่ได้มีการแก้ไข ระบบกลับไม่ให้ทำ ทั้งที่เป็นการแก้ไขเลข draft po no. เท่านั้น ระบบขึ้นเตือนว่าเงินไม่พอ &gt; จำได้...</t>
  </si>
  <si>
    <t>กรณีที่มีการแก้ไขแค่ draft po no. แต่ amount ไม่ได้มีการแก้ไข ระบบกลับไม่ให้ทำ ทั้งที่เป็นการแก้ไขเลข draft po no. เท่านั้น ระบบขึ้นเตือนว่าเงินไม่พอ &gt; จำได้ว่าเคสนี้เรา UAT ผ่านแล้วก่อนขึ้น prod</t>
  </si>
  <si>
    <t>Edit เฉพาะ Draft PO no. ไม่ trigger budget validation ที่ไม่จำเป็น</t>
  </si>
  <si>
    <t>UAT edit PO no only</t>
  </si>
  <si>
    <t>Handler/DataPOHandler.ashx.vb:241-277</t>
  </si>
  <si>
    <t>5/1/26 - อยากให้ Monitor ด้วย</t>
  </si>
  <si>
    <t>มี actual po ที่เป็น budget ของเดือน Nov 2025 ไหลเข้ามาด้วย 2 หมายเลข PO</t>
  </si>
  <si>
    <t>Sync Actual PO มี logic handle moved/stale/deletion flag</t>
  </si>
  <si>
    <t>ตรวจ production data case Nov 2025</t>
  </si>
  <si>
    <t>18/12/25 - เคสนี้ที่มองเป็น budget เป็นเดือน Nov 25 เพราะว่าตอนแรก User เปิด PO ด้วย OTB เดือน Nov ซึ่งเปิดผิด เลยไป flag delete item ให้เป็น 0 แล้ว Add item ใหม่ด้วย OTB เดือน Dec 25 ทำให้เจอเคสนี้</t>
  </si>
  <si>
    <t>ตอน upload draft po ระบบเช็คเงื่อนไขให้ถูกต้อง สมมติว่า มีรายการที่ upload 5 รายการ ผ่าน 3 ไม่ผ่าน 2 แล้วกดปุ่ม confirm to submit ระบบแจ้งเตือนว่าไม่ผ่านหมด ...</t>
  </si>
  <si>
    <t>ตอน upload draft po ระบบเช็คเงื่อนไขให้ถูกต้อง สมมติว่า มีรายการที่ upload 5 รายการ ผ่าน 3 ไม่ผ่าน 2 แล้วกดปุ่ม confirm to submit ระบบแจ้งเตือนว่าไม่ผ่านหมด แต่จริงๆ ระบบเอา 3 รายการที่ผ่านไป save ให้แล้ว &gt; อันนี้เราควรแสดงให้เห็นว่าผ่าน 3 ไม่ผ่าน 2 รายการหรือเปล่านะ และเจอว่าตอน preview ระบบไม่ได้แจ้งเตือนอะไร แต่พอกะ submit บอกว่าเจอ Error</t>
  </si>
  <si>
    <t>Preview/save ใช้ ValidateBatch ซ้ำ ลดความต่างระหว่าง preview กับ submit</t>
  </si>
  <si>
    <t>UAT upload pass/fail mixed</t>
  </si>
  <si>
    <t>ึ5/1/26 - ขอ Folllow-up ว่ายังมี Event นี้อยู่ไหม ถึงค่อยปิดเคสนี้ได้ 30/12/25 - ตัวเช็คเงิ่อนไข มันใช้คนละตัวกันครับ มันต้องไปใช้ ตัวเดียวกับ กรอกปกติ</t>
  </si>
  <si>
    <t>ถอยรายการที่ matched ไปแล้ว เพื่อจับคู่ Draft PO ใหม่ Draft PO: KPC-LM-SP-12/25-443 Actual PO: 2015014172</t>
  </si>
  <si>
    <t>Auto-match/sync ป้องกัน one Draft match หลาย Actual; rollback manual แยกไปอยู่ #39</t>
  </si>
  <si>
    <t>UAT rematch case KPC-LM-SP-12/25-443</t>
  </si>
  <si>
    <t>5/1/26 - พี่กู่ถอยรายการให้แล้ว แต่ยังเจอปัญหาว่า ในหน้า match รายการ ยังเอา Draft PO เดียวไปคู่กับ Acutal PO 2 อันอยู่ สาเหตุคือ 1 Draft PO จับคู่กับ Actual PO ได้ 2 หมายเลข workaround ให้ถอยรายการทั้งคู่ และเจอว่ามี Draft PO ค้างอยู่หลายอันเลย</t>
  </si>
  <si>
    <t>Status date ไม่มีข้อมูลว่า matched date เมื่อไหร่</t>
  </si>
  <si>
    <t>Actual/Draft update Status_Date แล้ว</t>
  </si>
  <si>
    <t>UAT matched date ในหน้าและ export</t>
  </si>
  <si>
    <t>database/03_create_stored_procedures.sql:42,1065,1082</t>
  </si>
  <si>
    <t>7/1/2026 - รอการแก้จากทางพี่กู่</t>
  </si>
  <si>
    <t>พบว่ามีข้อมูล Actual PO ของ Brand/Cate/Vendor รายการซ้ำกัน (ข้อมูลเหมือนกัน แต่เบิ้ลรายการ) ทั้งใน report และแสดงผลที่หน้า Web</t>
  </si>
  <si>
    <t>Sync summary ยกเลิก duplicate actual ด้วย row_number</t>
  </si>
  <si>
    <t>UAT duplicate Actual PO same dimension</t>
  </si>
  <si>
    <t>database/03_create_stored_procedures.sql:714-767</t>
  </si>
  <si>
    <t>Draft PO ไป matching กับ Actual PO ที่ถูก matched ไปแล้ว จริงๆแล้วถ้าหากกด sync SAP แล้วจะต้องจับคู่ Actual PO ใหม่ที่ไม่เคยถูกนำมา match Draft PO #2011008479</t>
  </si>
  <si>
    <t>Auto-match ไม่ reuse Actual/Draft ที่ถูก match แล้ว</t>
  </si>
  <si>
    <t>UAT duplicate matched actual</t>
  </si>
  <si>
    <t>Refer issue #27 ยังเจอว่า ระบบยังเอา Draft PO เลขเดียวกันไป match actual PO 2 หมายเลข Draft PO# KPC-LM-SP-12/25-443</t>
  </si>
  <si>
    <t>Unique DraftPO_ID ใน final matches ป้องกัน Draft เดียวไปหลาย Actual</t>
  </si>
  <si>
    <t>UAT case อ้างอิง #27</t>
  </si>
  <si>
    <t>กรณี user switch ผิด สามารถ switch กลับได้โดยให้ใส่เป็นเครื่องหมายติดลบในเทมเพลต **ตามตัวอย่างชีส ISSUE#35**</t>
  </si>
  <si>
    <t>เอกสารยกเลิกและโยงไปทำ #58 แทน</t>
  </si>
  <si>
    <t>ตามต่อที่ #58</t>
  </si>
  <si>
    <t>ให้ทำข้อ 58 แทน</t>
  </si>
  <si>
    <t>ต่อเนื่องจากข้อ 36 ซึ่งจะมีผลในหน้าแสดงรายการ switch TXN กรณีที่ switch กลับโดยใส่เครื่องหมายติดลบ จะทำให้สามารถตรวจสอบข้อมูลที่ switch ได้ / และแสดงรายการหม...</t>
  </si>
  <si>
    <t>ต่อเนื่องจากข้อ 36 ซึ่งจะมีผลในหน้าแสดงรายการ switch TXN กรณีที่ switch กลับโดยใส่เครื่องหมายติดลบ จะทำให้สามารถตรวจสอบข้อมูลที่ switch ได้ / และแสดงรายการหมวดหมู่ได้ถูกต้อง</t>
  </si>
  <si>
    <t>เอกสารยกเลิก/เกี่ยวกับ #35</t>
  </si>
  <si>
    <t>ตามต่อที่ #58 หากยังต้อง warning month</t>
  </si>
  <si>
    <t>กรณีที่ Actual PO ที่กด Sync SAP มาแล้วมีค่า amount = 0 ให้แสดงแถบสีเทา</t>
  </si>
  <si>
    <t>เอกสารยกเลิก; logic ปัจจุบัน cancel/ไม่แสดง actual amount = 0</t>
  </si>
  <si>
    <t>ไม่ต้องทำต่อ ยกเว้น business เปลี่ยน requirement</t>
  </si>
  <si>
    <t>database/03_create_stored_procedures.sql:835-849</t>
  </si>
  <si>
    <t>logic ตอนนี้ไม่แสดง Actual PO เลย</t>
  </si>
  <si>
    <t>Field</t>
  </si>
  <si>
    <t>Value</t>
  </si>
  <si>
    <t>Source workbook</t>
  </si>
  <si>
    <t>C:/Users/60893/Downloads/Production_KBMS_issue log_202511203.xlsx</t>
  </si>
  <si>
    <t>Source sheet</t>
  </si>
  <si>
    <t>Generated date</t>
  </si>
  <si>
    <t>2026-06-24</t>
  </si>
  <si>
    <t>Method</t>
  </si>
  <si>
    <t>Read issue log and compare against current source code in D:/CIE/BMS</t>
  </si>
  <si>
    <t>Important caveat</t>
  </si>
  <si>
    <t>System Check Status means code-level evidence was found. Production status still depends on deployment, database scripts, SAP data, and UAT.</t>
  </si>
  <si>
    <t>Workbook rows</t>
  </si>
  <si>
    <t>Open action rows</t>
  </si>
  <si>
    <t>Recommended next step</t>
  </si>
  <si>
    <t>Deploy/confirm DB scripts, then UAT the open and partial issues in Next Actions.</t>
  </si>
  <si>
    <t>Status</t>
  </si>
  <si>
    <t>Meaning</t>
  </si>
  <si>
    <t>ไม่พบ implementation หรือยังไม่ตรง requirement</t>
  </si>
  <si>
    <t>มี code รองรับบางส่วน แต่ยังมี gap</t>
  </si>
  <si>
    <t>มี code รองรับ แต่ issue log หรือหลักฐานบอกว่ายังต้อง deploy/UAT</t>
  </si>
  <si>
    <t>ยังต้องทดสอบกับ environment/data จริง</t>
  </si>
  <si>
    <t>พบ logic รองรับใน source code ปัจจุบัน</t>
  </si>
  <si>
    <t>issue ถูก cancel ตามเอกสาร</t>
  </si>
  <si>
    <t>แก้แล้วใน sql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</si>
</sst>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font>
      <sz val="11"/>
      <name val="Carlito"/>
    </font>
    <font>
      <b/>
      <sz val="11"/>
      <color rgb="FFFFFFFF"/>
      <name val="Carlito"/>
    </font>
    <font>
      <b/>
      <sz val="16"/>
      <color rgb="FFFFFFFF"/>
      <name val="Carlito"/>
    </font>
    <font>
      <sz val="11"/>
      <color rgb="FF374151"/>
      <name val="Carlito"/>
    </font>
    <font>
      <b/>
      <sz val="11"/>
      <color rgb="FF111827"/>
      <name val="Carlito"/>
    </font>
    <font>
      <sz val="11"/>
      <color rgb="FF006100"/>
      <name val="Calibri"/>
      <family val="2"/>
      <scheme val="minor"/>
    </font>
    <font>
      <sz val="11"/>
      <color rgb="FFFF0000"/>
      <name val="Carlito"/>
    </font>
  </fonts>
  <fills count="12">
    <fill>
      <patternFill patternType="none"/>
    </fill>
    <fill>
      <patternFill patternType="gray125"/>
    </fill>
    <fill>
      <patternFill patternType="solid">
        <fgColor rgb="FF0F172A"/>
      </patternFill>
    </fill>
    <fill>
      <patternFill patternType="solid">
        <fgColor rgb="FFFEE2E2"/>
      </patternFill>
    </fill>
    <fill>
      <patternFill patternType="solid">
        <fgColor rgb="FFFEF3C7"/>
      </patternFill>
    </fill>
    <fill>
      <patternFill patternType="solid">
        <fgColor rgb="FFDBEAFE"/>
      </patternFill>
    </fill>
    <fill>
      <patternFill patternType="solid">
        <fgColor rgb="FFDCFCE7"/>
      </patternFill>
    </fill>
    <fill>
      <patternFill patternType="solid">
        <fgColor rgb="FFE5E7EB"/>
      </patternFill>
    </fill>
    <fill>
      <patternFill patternType="solid">
        <fgColor rgb="FF1D4ED8"/>
      </patternFill>
    </fill>
    <fill>
      <patternFill patternType="solid">
        <fgColor rgb="FF334155"/>
      </patternFill>
    </fill>
    <fill>
      <patternFill patternType="solid">
        <fgColor rgb="FFE2E8F0"/>
      </patternFill>
    </fill>
    <fill>
      <patternFill patternType="solid">
        <fgColor rgb="FFC6EFCE"/>
      </patternFill>
    </fill>
  </fills>
  <borders count="20">
    <border>
      <left/>
      <right/>
      <top/>
      <bottom/>
      <diagonal/>
    </border>
    <border>
      <left/>
      <right style="thin">
        <color rgb="FFE5E7EB"/>
      </right>
      <top/>
      <bottom style="thin">
        <color rgb="FFE5E7EB"/>
      </bottom>
      <diagonal/>
    </border>
    <border>
      <left style="thin">
        <color rgb="FFE5E7EB"/>
      </left>
      <right style="thin">
        <color rgb="FFE5E7EB"/>
      </right>
      <top/>
      <bottom style="thin">
        <color rgb="FFE5E7EB"/>
      </bottom>
      <diagonal/>
    </border>
    <border>
      <left style="thin">
        <color rgb="FFE5E7EB"/>
      </left>
      <right/>
      <top/>
      <bottom style="thin">
        <color rgb="FFE5E7EB"/>
      </bottom>
      <diagonal/>
    </border>
    <border>
      <left/>
      <right style="thin">
        <color rgb="FFE5E7EB"/>
      </right>
      <top style="thin">
        <color rgb="FFE5E7EB"/>
      </top>
      <bottom style="thin">
        <color rgb="FFE5E7EB"/>
      </bottom>
      <diagonal/>
    </border>
    <border>
      <left style="thin">
        <color rgb="FFE5E7EB"/>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right style="thin">
        <color rgb="FFE5E7EB"/>
      </right>
      <top style="thin">
        <color rgb="FFE5E7EB"/>
      </top>
      <bottom/>
      <diagonal/>
    </border>
    <border>
      <left style="thin">
        <color rgb="FFE5E7EB"/>
      </left>
      <right style="thin">
        <color rgb="FFE5E7EB"/>
      </right>
      <top style="thin">
        <color rgb="FFE5E7EB"/>
      </top>
      <bottom/>
      <diagonal/>
    </border>
    <border>
      <left style="thin">
        <color rgb="FFE5E7EB"/>
      </left>
      <right/>
      <top style="thin">
        <color rgb="FFE5E7EB"/>
      </top>
      <bottom/>
      <diagonal/>
    </border>
    <border>
      <left style="thin">
        <color rgb="FFCBD5E1"/>
      </left>
      <right style="thin">
        <color rgb="FFCBD5E1"/>
      </right>
      <top style="thin">
        <color rgb="FFCBD5E1"/>
      </top>
      <bottom style="thin">
        <color rgb="FFCBD5E1"/>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5" fillId="11" borderId="0" applyNumberFormat="0" applyBorder="0" applyAlignment="0" applyProtection="0"/>
  </cellStyleXfs>
  <cellXfs count="84">
    <xf numFmtId="0" fontId="0" fillId="0" borderId="0" xfId="0"/>
    <xf numFmtId="0" fontId="1" fillId="2" borderId="1" xfId="0" applyNumberFormat="1" applyFont="1" applyFill="1" applyBorder="1"/>
    <xf numFmtId="0" fontId="1" fillId="2" borderId="2" xfId="0" applyNumberFormat="1" applyFont="1" applyFill="1" applyBorder="1"/>
    <xf numFmtId="0" fontId="1" fillId="2" borderId="3" xfId="0" applyNumberFormat="1" applyFont="1" applyFill="1" applyBorder="1"/>
    <xf numFmtId="0" fontId="0" fillId="3" borderId="5" xfId="0" applyNumberFormat="1" applyFont="1" applyFill="1" applyBorder="1" applyAlignment="1">
      <alignment wrapText="1"/>
    </xf>
    <xf numFmtId="0" fontId="0" fillId="3" borderId="6" xfId="0" applyNumberFormat="1" applyFont="1" applyFill="1" applyBorder="1" applyAlignment="1">
      <alignment wrapText="1"/>
    </xf>
    <xf numFmtId="0" fontId="0" fillId="4" borderId="5" xfId="0" applyNumberFormat="1" applyFont="1" applyFill="1" applyBorder="1" applyAlignment="1">
      <alignment wrapText="1"/>
    </xf>
    <xf numFmtId="0" fontId="0" fillId="4" borderId="6" xfId="0" applyNumberFormat="1" applyFont="1" applyFill="1" applyBorder="1" applyAlignment="1">
      <alignment wrapText="1"/>
    </xf>
    <xf numFmtId="0" fontId="0" fillId="5" borderId="5" xfId="0" applyNumberFormat="1" applyFont="1" applyFill="1" applyBorder="1" applyAlignment="1">
      <alignment wrapText="1"/>
    </xf>
    <xf numFmtId="0" fontId="0" fillId="5" borderId="6" xfId="0" applyNumberFormat="1" applyFont="1" applyFill="1" applyBorder="1" applyAlignment="1">
      <alignment wrapText="1"/>
    </xf>
    <xf numFmtId="0" fontId="0" fillId="0" borderId="10" xfId="0" applyNumberFormat="1" applyFont="1" applyFill="1" applyBorder="1"/>
    <xf numFmtId="0" fontId="1" fillId="8" borderId="10" xfId="0" applyNumberFormat="1" applyFont="1" applyFill="1" applyBorder="1"/>
    <xf numFmtId="0" fontId="4" fillId="10" borderId="10" xfId="0" applyNumberFormat="1" applyFont="1" applyFill="1" applyBorder="1"/>
    <xf numFmtId="0" fontId="0" fillId="0" borderId="10" xfId="0" applyNumberFormat="1" applyFont="1" applyFill="1" applyBorder="1" applyAlignment="1">
      <alignment wrapText="1"/>
    </xf>
    <xf numFmtId="0" fontId="0" fillId="3" borderId="4" xfId="0" applyNumberFormat="1" applyFont="1" applyFill="1" applyBorder="1" applyAlignment="1">
      <alignment wrapText="1"/>
    </xf>
    <xf numFmtId="0" fontId="0" fillId="4" borderId="4" xfId="0" applyNumberFormat="1" applyFont="1" applyFill="1" applyBorder="1" applyAlignment="1">
      <alignment wrapText="1"/>
    </xf>
    <xf numFmtId="0" fontId="0" fillId="5" borderId="4" xfId="0" applyNumberFormat="1" applyFont="1" applyFill="1" applyBorder="1" applyAlignment="1">
      <alignment wrapText="1"/>
    </xf>
    <xf numFmtId="0" fontId="0" fillId="5" borderId="7" xfId="0" applyNumberFormat="1" applyFont="1" applyFill="1" applyBorder="1" applyAlignment="1">
      <alignment wrapText="1"/>
    </xf>
    <xf numFmtId="0" fontId="0" fillId="5" borderId="8" xfId="0" applyNumberFormat="1" applyFont="1" applyFill="1" applyBorder="1" applyAlignment="1">
      <alignment wrapText="1"/>
    </xf>
    <xf numFmtId="0" fontId="0" fillId="5" borderId="9" xfId="0" applyNumberFormat="1" applyFont="1" applyFill="1" applyBorder="1" applyAlignment="1">
      <alignment wrapText="1"/>
    </xf>
    <xf numFmtId="0" fontId="1" fillId="2" borderId="10" xfId="0" applyNumberFormat="1" applyFont="1" applyFill="1" applyBorder="1" applyAlignment="1">
      <alignment wrapText="1"/>
    </xf>
    <xf numFmtId="0" fontId="1" fillId="9" borderId="10" xfId="0" applyNumberFormat="1" applyFont="1" applyFill="1" applyBorder="1"/>
    <xf numFmtId="0" fontId="0" fillId="3" borderId="10" xfId="0" applyNumberFormat="1" applyFont="1" applyFill="1" applyBorder="1"/>
    <xf numFmtId="0" fontId="0" fillId="4" borderId="10" xfId="0" applyNumberFormat="1" applyFont="1" applyFill="1" applyBorder="1"/>
    <xf numFmtId="0" fontId="0" fillId="5" borderId="10" xfId="0" applyNumberFormat="1" applyFont="1" applyFill="1" applyBorder="1"/>
    <xf numFmtId="0" fontId="0" fillId="6" borderId="10" xfId="0" applyNumberFormat="1" applyFont="1" applyFill="1" applyBorder="1"/>
    <xf numFmtId="0" fontId="0" fillId="7" borderId="10" xfId="0" applyNumberFormat="1" applyFont="1" applyFill="1" applyBorder="1"/>
    <xf numFmtId="0" fontId="2" fillId="2" borderId="0" xfId="0" applyNumberFormat="1" applyFont="1" applyFill="1" applyBorder="1"/>
    <xf numFmtId="0" fontId="0" fillId="0" borderId="0" xfId="0"/>
    <xf numFmtId="0" fontId="3" fillId="7" borderId="0" xfId="0" applyNumberFormat="1" applyFont="1" applyFill="1" applyBorder="1"/>
    <xf numFmtId="0" fontId="1" fillId="9" borderId="0" xfId="0" applyNumberFormat="1" applyFont="1" applyFill="1" applyBorder="1"/>
    <xf numFmtId="0" fontId="1" fillId="2" borderId="12" xfId="0" applyNumberFormat="1" applyFont="1" applyFill="1" applyBorder="1"/>
    <xf numFmtId="0" fontId="1" fillId="2" borderId="13" xfId="0" applyNumberFormat="1" applyFont="1" applyFill="1" applyBorder="1"/>
    <xf numFmtId="0" fontId="1" fillId="2" borderId="14" xfId="0" applyNumberFormat="1" applyFont="1" applyFill="1" applyBorder="1"/>
    <xf numFmtId="2" fontId="0" fillId="3" borderId="15" xfId="0" applyNumberFormat="1" applyFont="1" applyFill="1" applyBorder="1" applyAlignment="1">
      <alignment wrapText="1"/>
    </xf>
    <xf numFmtId="1" fontId="0" fillId="3" borderId="11" xfId="0" applyNumberFormat="1" applyFont="1" applyFill="1" applyBorder="1" applyAlignment="1">
      <alignment wrapText="1"/>
    </xf>
    <xf numFmtId="0" fontId="0" fillId="3" borderId="11" xfId="0" applyNumberFormat="1" applyFont="1" applyFill="1" applyBorder="1" applyAlignment="1">
      <alignment wrapText="1"/>
    </xf>
    <xf numFmtId="164" fontId="0" fillId="3" borderId="11" xfId="0" applyNumberFormat="1" applyFont="1" applyFill="1" applyBorder="1" applyAlignment="1">
      <alignment wrapText="1"/>
    </xf>
    <xf numFmtId="0" fontId="0" fillId="3" borderId="16" xfId="0" applyNumberFormat="1" applyFont="1" applyFill="1" applyBorder="1" applyAlignment="1">
      <alignment wrapText="1"/>
    </xf>
    <xf numFmtId="2" fontId="0" fillId="4" borderId="15" xfId="0" applyNumberFormat="1" applyFont="1" applyFill="1" applyBorder="1" applyAlignment="1">
      <alignment wrapText="1"/>
    </xf>
    <xf numFmtId="1" fontId="0" fillId="4" borderId="11" xfId="0" applyNumberFormat="1" applyFont="1" applyFill="1" applyBorder="1" applyAlignment="1">
      <alignment wrapText="1"/>
    </xf>
    <xf numFmtId="0" fontId="0" fillId="4" borderId="11" xfId="0" applyNumberFormat="1" applyFont="1" applyFill="1" applyBorder="1" applyAlignment="1">
      <alignment wrapText="1"/>
    </xf>
    <xf numFmtId="164" fontId="0" fillId="4" borderId="11" xfId="0" applyNumberFormat="1" applyFont="1" applyFill="1" applyBorder="1" applyAlignment="1">
      <alignment wrapText="1"/>
    </xf>
    <xf numFmtId="0" fontId="0" fillId="4" borderId="16" xfId="0" applyNumberFormat="1" applyFont="1" applyFill="1" applyBorder="1" applyAlignment="1">
      <alignment wrapText="1"/>
    </xf>
    <xf numFmtId="2" fontId="0" fillId="5" borderId="15" xfId="0" applyNumberFormat="1" applyFont="1" applyFill="1" applyBorder="1" applyAlignment="1">
      <alignment wrapText="1"/>
    </xf>
    <xf numFmtId="1" fontId="0" fillId="5" borderId="11" xfId="0" applyNumberFormat="1" applyFont="1" applyFill="1" applyBorder="1" applyAlignment="1">
      <alignment wrapText="1"/>
    </xf>
    <xf numFmtId="0" fontId="0" fillId="5" borderId="11" xfId="0" applyNumberFormat="1" applyFont="1" applyFill="1" applyBorder="1" applyAlignment="1">
      <alignment wrapText="1"/>
    </xf>
    <xf numFmtId="164" fontId="0" fillId="5" borderId="11" xfId="0" applyNumberFormat="1" applyFont="1" applyFill="1" applyBorder="1" applyAlignment="1">
      <alignment wrapText="1"/>
    </xf>
    <xf numFmtId="0" fontId="0" fillId="5" borderId="16" xfId="0" applyNumberFormat="1" applyFont="1" applyFill="1" applyBorder="1" applyAlignment="1">
      <alignment wrapText="1"/>
    </xf>
    <xf numFmtId="2" fontId="0" fillId="6" borderId="15" xfId="0" applyNumberFormat="1" applyFont="1" applyFill="1" applyBorder="1" applyAlignment="1">
      <alignment wrapText="1"/>
    </xf>
    <xf numFmtId="1" fontId="0" fillId="6" borderId="11" xfId="0" applyNumberFormat="1" applyFont="1" applyFill="1" applyBorder="1" applyAlignment="1">
      <alignment wrapText="1"/>
    </xf>
    <xf numFmtId="0" fontId="0" fillId="6" borderId="11" xfId="0" applyNumberFormat="1" applyFont="1" applyFill="1" applyBorder="1" applyAlignment="1">
      <alignment wrapText="1"/>
    </xf>
    <xf numFmtId="164" fontId="0" fillId="6" borderId="11" xfId="0" applyNumberFormat="1" applyFont="1" applyFill="1" applyBorder="1" applyAlignment="1">
      <alignment wrapText="1"/>
    </xf>
    <xf numFmtId="0" fontId="0" fillId="6" borderId="16" xfId="0" applyNumberFormat="1" applyFont="1" applyFill="1" applyBorder="1" applyAlignment="1">
      <alignment wrapText="1"/>
    </xf>
    <xf numFmtId="2" fontId="0" fillId="7" borderId="15" xfId="0" applyNumberFormat="1" applyFont="1" applyFill="1" applyBorder="1" applyAlignment="1">
      <alignment wrapText="1"/>
    </xf>
    <xf numFmtId="1" fontId="0" fillId="7" borderId="11" xfId="0" applyNumberFormat="1" applyFont="1" applyFill="1" applyBorder="1" applyAlignment="1">
      <alignment wrapText="1"/>
    </xf>
    <xf numFmtId="0" fontId="0" fillId="7" borderId="11" xfId="0" applyNumberFormat="1" applyFont="1" applyFill="1" applyBorder="1" applyAlignment="1">
      <alignment wrapText="1"/>
    </xf>
    <xf numFmtId="164" fontId="0" fillId="7" borderId="11" xfId="0" applyNumberFormat="1" applyFont="1" applyFill="1" applyBorder="1" applyAlignment="1">
      <alignment wrapText="1"/>
    </xf>
    <xf numFmtId="0" fontId="0" fillId="7" borderId="16" xfId="0" applyNumberFormat="1" applyFont="1" applyFill="1" applyBorder="1" applyAlignment="1">
      <alignment wrapText="1"/>
    </xf>
    <xf numFmtId="2" fontId="0" fillId="7" borderId="17" xfId="0" applyNumberFormat="1" applyFont="1" applyFill="1" applyBorder="1" applyAlignment="1">
      <alignment wrapText="1"/>
    </xf>
    <xf numFmtId="1" fontId="0" fillId="7" borderId="18" xfId="0" applyNumberFormat="1" applyFont="1" applyFill="1" applyBorder="1" applyAlignment="1">
      <alignment wrapText="1"/>
    </xf>
    <xf numFmtId="0" fontId="0" fillId="7" borderId="18" xfId="0" applyNumberFormat="1" applyFont="1" applyFill="1" applyBorder="1" applyAlignment="1">
      <alignment wrapText="1"/>
    </xf>
    <xf numFmtId="164" fontId="0" fillId="7" borderId="18" xfId="0" applyNumberFormat="1" applyFont="1" applyFill="1" applyBorder="1" applyAlignment="1">
      <alignment wrapText="1"/>
    </xf>
    <xf numFmtId="0" fontId="0" fillId="7" borderId="19" xfId="0" applyNumberFormat="1" applyFont="1" applyFill="1" applyBorder="1" applyAlignment="1">
      <alignment wrapText="1"/>
    </xf>
    <xf numFmtId="2" fontId="5" fillId="11" borderId="15" xfId="1" applyNumberFormat="1" applyBorder="1" applyAlignment="1">
      <alignment wrapText="1"/>
    </xf>
    <xf numFmtId="1" fontId="5" fillId="11" borderId="11" xfId="1" applyNumberFormat="1" applyBorder="1" applyAlignment="1">
      <alignment wrapText="1"/>
    </xf>
    <xf numFmtId="0" fontId="5" fillId="11" borderId="11" xfId="1" applyNumberFormat="1" applyBorder="1" applyAlignment="1">
      <alignment wrapText="1"/>
    </xf>
    <xf numFmtId="164" fontId="5" fillId="11" borderId="11" xfId="1" applyNumberFormat="1" applyBorder="1" applyAlignment="1">
      <alignment wrapText="1"/>
    </xf>
    <xf numFmtId="0" fontId="5" fillId="11" borderId="16" xfId="1" applyNumberFormat="1" applyBorder="1" applyAlignment="1">
      <alignment wrapText="1"/>
    </xf>
    <xf numFmtId="2" fontId="6" fillId="3" borderId="15" xfId="0" applyNumberFormat="1" applyFont="1" applyFill="1" applyBorder="1" applyAlignment="1">
      <alignment wrapText="1"/>
    </xf>
    <xf numFmtId="1" fontId="6" fillId="3" borderId="11" xfId="0" applyNumberFormat="1" applyFont="1" applyFill="1" applyBorder="1" applyAlignment="1">
      <alignment wrapText="1"/>
    </xf>
    <xf numFmtId="0" fontId="6" fillId="3" borderId="11" xfId="0" applyNumberFormat="1" applyFont="1" applyFill="1" applyBorder="1" applyAlignment="1">
      <alignment wrapText="1"/>
    </xf>
    <xf numFmtId="164" fontId="6" fillId="3" borderId="11" xfId="0" applyNumberFormat="1" applyFont="1" applyFill="1" applyBorder="1" applyAlignment="1">
      <alignment wrapText="1"/>
    </xf>
    <xf numFmtId="0" fontId="6" fillId="3" borderId="16" xfId="0" applyNumberFormat="1" applyFont="1" applyFill="1" applyBorder="1" applyAlignment="1">
      <alignment wrapText="1"/>
    </xf>
    <xf numFmtId="0" fontId="1" fillId="2" borderId="13" xfId="0" applyNumberFormat="1" applyFont="1" applyFill="1" applyBorder="1" applyAlignment="1">
      <alignment horizontal="left" vertical="top"/>
    </xf>
    <xf numFmtId="0" fontId="5" fillId="11" borderId="11" xfId="1" applyNumberFormat="1" applyBorder="1" applyAlignment="1">
      <alignment horizontal="left" vertical="top" wrapText="1"/>
    </xf>
    <xf numFmtId="0" fontId="0" fillId="3" borderId="11" xfId="0" applyNumberFormat="1" applyFont="1" applyFill="1" applyBorder="1" applyAlignment="1">
      <alignment horizontal="left" vertical="top" wrapText="1"/>
    </xf>
    <xf numFmtId="0" fontId="6" fillId="3" borderId="11" xfId="0" applyNumberFormat="1" applyFont="1" applyFill="1" applyBorder="1" applyAlignment="1">
      <alignment horizontal="left" vertical="top" wrapText="1"/>
    </xf>
    <xf numFmtId="0" fontId="0" fillId="4" borderId="11" xfId="0" applyNumberFormat="1" applyFont="1" applyFill="1" applyBorder="1" applyAlignment="1">
      <alignment horizontal="left" vertical="top" wrapText="1"/>
    </xf>
    <xf numFmtId="0" fontId="0" fillId="5" borderId="11" xfId="0" applyNumberFormat="1" applyFont="1" applyFill="1" applyBorder="1" applyAlignment="1">
      <alignment horizontal="left" vertical="top" wrapText="1"/>
    </xf>
    <xf numFmtId="0" fontId="0" fillId="6" borderId="11" xfId="0" applyNumberFormat="1" applyFont="1" applyFill="1" applyBorder="1" applyAlignment="1">
      <alignment horizontal="left" vertical="top" wrapText="1"/>
    </xf>
    <xf numFmtId="0" fontId="0" fillId="7" borderId="11" xfId="0" applyNumberFormat="1" applyFont="1" applyFill="1" applyBorder="1" applyAlignment="1">
      <alignment horizontal="left" vertical="top" wrapText="1"/>
    </xf>
    <xf numFmtId="0" fontId="0" fillId="7" borderId="18" xfId="0" applyNumberFormat="1" applyFont="1" applyFill="1" applyBorder="1" applyAlignment="1">
      <alignment horizontal="left" vertical="top" wrapText="1"/>
    </xf>
    <xf numFmtId="0" fontId="0" fillId="0" borderId="0" xfId="0" applyAlignment="1">
      <alignment horizontal="left" vertical="top"/>
    </xf>
  </cellXfs>
  <cellStyles count="2">
    <cellStyle name="Good" xfId="1" builtinId="26"/>
    <cellStyle name="Normal" xfId="0" builtinId="0"/>
  </cellStyles>
  <dxfs count="19">
    <dxf>
      <alignment horizontal="lef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diagonalUp="0" diagonalDown="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ssueDetailTable" displayName="IssueDetailTable" ref="A1:O66" headerRowDxfId="6" totalsRowDxfId="5" headerRowBorderDxfId="17" tableBorderDxfId="18">
  <autoFilter ref="A1:O66" xr:uid="{0FBF714B-CE6A-46AB-9E6E-CBED10343F7D}">
    <filterColumn colId="4">
      <filters>
        <filter val="ยังไม่แก้"/>
      </filters>
    </filterColumn>
    <filterColumn colId="6">
      <filters>
        <filter val="CR"/>
      </filters>
    </filterColumn>
  </autoFilter>
  <tableColumns count="15">
    <tableColumn id="1" xr3:uid="{00000000-0010-0000-0000-000001000000}" name="Sort Rank" dataDxfId="16"/>
    <tableColumn id="2" xr3:uid="{00000000-0010-0000-0000-000002000000}" name="Issue No" dataDxfId="15"/>
    <tableColumn id="3" xr3:uid="{00000000-0010-0000-0000-000003000000}" name="Priority" dataDxfId="14"/>
    <tableColumn id="4" xr3:uid="{00000000-0010-0000-0000-000004000000}" name="Issue Log Status" dataDxfId="13"/>
    <tableColumn id="5" xr3:uid="{00000000-0010-0000-0000-000005000000}" name="System Check Status" dataDxfId="12"/>
    <tableColumn id="6" xr3:uid="{00000000-0010-0000-0000-000006000000}" name="Page" dataDxfId="11"/>
    <tableColumn id="7" xr3:uid="{00000000-0010-0000-0000-000007000000}" name="Type" dataDxfId="10"/>
    <tableColumn id="8" xr3:uid="{00000000-0010-0000-0000-000008000000}" name="Summary" dataDxfId="4"/>
    <tableColumn id="9" xr3:uid="{00000000-0010-0000-0000-000009000000}" name="Original Detail" dataDxfId="3"/>
    <tableColumn id="10" xr3:uid="{00000000-0010-0000-0000-00000A000000}" name="Why / Evidence" dataDxfId="2"/>
    <tableColumn id="11" xr3:uid="{00000000-0010-0000-0000-00000B000000}" name="Next Action" dataDxfId="1"/>
    <tableColumn id="12" xr3:uid="{00000000-0010-0000-0000-00000C000000}" name="Code Evidence" dataDxfId="0"/>
    <tableColumn id="13" xr3:uid="{00000000-0010-0000-0000-00000D000000}" name="Created Date" dataDxfId="9"/>
    <tableColumn id="14" xr3:uid="{00000000-0010-0000-0000-00000E000000}" name="Resolved Date" dataDxfId="8"/>
    <tableColumn id="15" xr3:uid="{00000000-0010-0000-0000-00000F000000}" name="Issue Remark" dataDxfId="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NextActionsTable" displayName="NextActionsTable" ref="A1:I32">
  <tableColumns count="9">
    <tableColumn id="1" xr3:uid="{00000000-0010-0000-0100-000001000000}" name="Issue No"/>
    <tableColumn id="2" xr3:uid="{00000000-0010-0000-0100-000002000000}" name="Priority"/>
    <tableColumn id="3" xr3:uid="{00000000-0010-0000-0100-000003000000}" name="System Check Status"/>
    <tableColumn id="4" xr3:uid="{00000000-0010-0000-0100-000004000000}" name="Page"/>
    <tableColumn id="5" xr3:uid="{00000000-0010-0000-0100-000005000000}" name="Type"/>
    <tableColumn id="6" xr3:uid="{00000000-0010-0000-0100-000006000000}" name="Summary"/>
    <tableColumn id="7" xr3:uid="{00000000-0010-0000-0100-000007000000}" name="Why / Evidence"/>
    <tableColumn id="8" xr3:uid="{00000000-0010-0000-0100-000008000000}" name="Next Action"/>
    <tableColumn id="9" xr3:uid="{00000000-0010-0000-0100-000009000000}" name="Code Evidenc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
  <sheetViews>
    <sheetView showGridLines="0" workbookViewId="0">
      <selection activeCell="E23" sqref="E23"/>
    </sheetView>
  </sheetViews>
  <sheetFormatPr defaultRowHeight="14.25"/>
  <cols>
    <col min="1" max="1" width="14" customWidth="1"/>
    <col min="2" max="2" width="12" customWidth="1"/>
    <col min="3" max="3" width="20" customWidth="1"/>
    <col min="4" max="4" width="28" customWidth="1"/>
    <col min="5" max="5" width="60" customWidth="1"/>
    <col min="6" max="6" width="58" customWidth="1"/>
    <col min="7" max="7" width="14" customWidth="1"/>
    <col min="8" max="8" width="12" customWidth="1"/>
  </cols>
  <sheetData>
    <row r="1" spans="1:8" ht="20.25">
      <c r="A1" s="27" t="s">
        <v>0</v>
      </c>
      <c r="B1" s="28"/>
      <c r="C1" s="28"/>
      <c r="D1" s="28"/>
      <c r="E1" s="28"/>
      <c r="F1" s="28"/>
      <c r="G1" s="28"/>
      <c r="H1" s="28"/>
    </row>
    <row r="2" spans="1:8">
      <c r="A2" s="29" t="s">
        <v>1</v>
      </c>
      <c r="B2" s="28"/>
      <c r="C2" s="28"/>
      <c r="D2" s="28"/>
      <c r="E2" s="28"/>
      <c r="F2" s="28"/>
      <c r="G2" s="28"/>
      <c r="H2" s="28"/>
    </row>
    <row r="4" spans="1:8" ht="15">
      <c r="A4" s="11" t="s">
        <v>2</v>
      </c>
      <c r="B4" s="11" t="s">
        <v>3</v>
      </c>
      <c r="D4" s="11" t="s">
        <v>4</v>
      </c>
      <c r="E4" s="11" t="s">
        <v>3</v>
      </c>
      <c r="G4" s="11" t="s">
        <v>5</v>
      </c>
      <c r="H4" s="11" t="s">
        <v>3</v>
      </c>
    </row>
    <row r="5" spans="1:8">
      <c r="A5" s="10" t="s">
        <v>6</v>
      </c>
      <c r="B5" s="10">
        <f>COUNTIF('Issue Detail'!$D$2:$D$66,A5)</f>
        <v>23</v>
      </c>
      <c r="D5" s="10" t="s">
        <v>7</v>
      </c>
      <c r="E5" s="10">
        <f>COUNTIF('Issue Detail'!$E$2:$E$66,D5)</f>
        <v>22</v>
      </c>
      <c r="G5" s="10" t="s">
        <v>8</v>
      </c>
      <c r="H5" s="10">
        <f>COUNTIF('Issue Detail'!$C$2:$C$66,G5)</f>
        <v>16</v>
      </c>
    </row>
    <row r="6" spans="1:8">
      <c r="A6" s="10" t="s">
        <v>9</v>
      </c>
      <c r="B6" s="10">
        <f>COUNTIF('Issue Detail'!$D$2:$D$66,A6)</f>
        <v>38</v>
      </c>
      <c r="D6" s="10" t="s">
        <v>10</v>
      </c>
      <c r="E6" s="10">
        <f>COUNTIF('Issue Detail'!$E$2:$E$66,D6)</f>
        <v>6</v>
      </c>
      <c r="G6" s="10" t="s">
        <v>11</v>
      </c>
      <c r="H6" s="10">
        <f>COUNTIF('Issue Detail'!$C$2:$C$66,G6)</f>
        <v>6</v>
      </c>
    </row>
    <row r="7" spans="1:8">
      <c r="A7" s="10" t="s">
        <v>12</v>
      </c>
      <c r="B7" s="10">
        <f>COUNTIF('Issue Detail'!$D$2:$D$66,A7)</f>
        <v>1</v>
      </c>
      <c r="D7" s="10" t="s">
        <v>13</v>
      </c>
      <c r="E7" s="10">
        <f>COUNTIF('Issue Detail'!$E$2:$E$66,D7)</f>
        <v>1</v>
      </c>
      <c r="G7" s="10" t="s">
        <v>14</v>
      </c>
      <c r="H7" s="10">
        <f>COUNTIF('Issue Detail'!$C$2:$C$66,G7)</f>
        <v>17</v>
      </c>
    </row>
    <row r="8" spans="1:8">
      <c r="A8" s="10" t="s">
        <v>15</v>
      </c>
      <c r="B8" s="10">
        <f>COUNTIF('Issue Detail'!$D$2:$D$66,A8)</f>
        <v>3</v>
      </c>
      <c r="D8" s="10" t="s">
        <v>16</v>
      </c>
      <c r="E8" s="10">
        <f>COUNTIF('Issue Detail'!$E$2:$E$66,D8)</f>
        <v>1</v>
      </c>
      <c r="G8" s="10" t="s">
        <v>17</v>
      </c>
      <c r="H8" s="10">
        <f>COUNTIF('Issue Detail'!$C$2:$C$66,G8)</f>
        <v>5</v>
      </c>
    </row>
    <row r="9" spans="1:8">
      <c r="D9" s="10" t="s">
        <v>18</v>
      </c>
      <c r="E9" s="10">
        <f>COUNTIF('Issue Detail'!$E$2:$E$66,D9)</f>
        <v>31</v>
      </c>
      <c r="G9" s="10" t="s">
        <v>19</v>
      </c>
      <c r="H9" s="10">
        <f>COUNTIF('Issue Detail'!$C$2:$C$66,G9)</f>
        <v>21</v>
      </c>
    </row>
    <row r="10" spans="1:8">
      <c r="D10" s="10" t="s">
        <v>20</v>
      </c>
      <c r="E10" s="10">
        <f>COUNTIF('Issue Detail'!$E$2:$E$66,D10)</f>
        <v>3</v>
      </c>
    </row>
    <row r="12" spans="1:8" ht="15">
      <c r="A12" s="30" t="s">
        <v>21</v>
      </c>
      <c r="B12" s="28"/>
      <c r="C12" s="28"/>
      <c r="D12" s="28"/>
      <c r="E12" s="28"/>
      <c r="F12" s="28"/>
      <c r="G12" s="28"/>
      <c r="H12" s="28"/>
    </row>
    <row r="13" spans="1:8" ht="15">
      <c r="A13" s="12" t="s">
        <v>22</v>
      </c>
      <c r="B13" s="12" t="s">
        <v>5</v>
      </c>
      <c r="C13" s="12" t="s">
        <v>23</v>
      </c>
      <c r="D13" s="12" t="s">
        <v>24</v>
      </c>
      <c r="E13" s="12" t="s">
        <v>25</v>
      </c>
      <c r="F13" s="12" t="s">
        <v>26</v>
      </c>
    </row>
    <row r="14" spans="1:8">
      <c r="A14" s="13">
        <v>56</v>
      </c>
      <c r="B14" s="13" t="s">
        <v>8</v>
      </c>
      <c r="C14" s="13" t="s">
        <v>7</v>
      </c>
      <c r="D14" s="13" t="s">
        <v>27</v>
      </c>
      <c r="E14" s="13" t="s">
        <v>28</v>
      </c>
      <c r="F14" s="13" t="s">
        <v>29</v>
      </c>
    </row>
    <row r="15" spans="1:8" ht="28.5">
      <c r="A15" s="13">
        <v>58</v>
      </c>
      <c r="B15" s="13" t="s">
        <v>8</v>
      </c>
      <c r="C15" s="13" t="s">
        <v>7</v>
      </c>
      <c r="D15" s="13" t="s">
        <v>30</v>
      </c>
      <c r="E15" s="13" t="s">
        <v>31</v>
      </c>
      <c r="F15" s="13" t="s">
        <v>32</v>
      </c>
    </row>
    <row r="16" spans="1:8">
      <c r="A16" s="13">
        <v>60</v>
      </c>
      <c r="B16" s="13" t="s">
        <v>8</v>
      </c>
      <c r="C16" s="13" t="s">
        <v>7</v>
      </c>
      <c r="D16" s="13" t="s">
        <v>33</v>
      </c>
      <c r="E16" s="13" t="s">
        <v>34</v>
      </c>
      <c r="F16" s="13" t="s">
        <v>35</v>
      </c>
    </row>
    <row r="17" spans="1:6">
      <c r="A17" s="13">
        <v>62</v>
      </c>
      <c r="B17" s="13" t="s">
        <v>8</v>
      </c>
      <c r="C17" s="13" t="s">
        <v>7</v>
      </c>
      <c r="D17" s="13"/>
      <c r="E17" s="13" t="s">
        <v>36</v>
      </c>
      <c r="F17" s="13" t="s">
        <v>37</v>
      </c>
    </row>
    <row r="18" spans="1:6" ht="28.5">
      <c r="A18" s="13">
        <v>64</v>
      </c>
      <c r="B18" s="13" t="s">
        <v>8</v>
      </c>
      <c r="C18" s="13" t="s">
        <v>7</v>
      </c>
      <c r="D18" s="13" t="s">
        <v>30</v>
      </c>
      <c r="E18" s="13" t="s">
        <v>38</v>
      </c>
      <c r="F18" s="13" t="s">
        <v>39</v>
      </c>
    </row>
    <row r="19" spans="1:6" ht="28.5">
      <c r="A19" s="13">
        <v>38</v>
      </c>
      <c r="B19" s="13" t="s">
        <v>11</v>
      </c>
      <c r="C19" s="13" t="s">
        <v>7</v>
      </c>
      <c r="D19" s="13" t="s">
        <v>33</v>
      </c>
      <c r="E19" s="13" t="s">
        <v>40</v>
      </c>
      <c r="F19" s="13" t="s">
        <v>41</v>
      </c>
    </row>
    <row r="20" spans="1:6">
      <c r="A20" s="13">
        <v>8</v>
      </c>
      <c r="B20" s="13" t="s">
        <v>14</v>
      </c>
      <c r="C20" s="13" t="s">
        <v>7</v>
      </c>
      <c r="D20" s="13" t="s">
        <v>33</v>
      </c>
      <c r="E20" s="13" t="s">
        <v>42</v>
      </c>
      <c r="F20" s="13" t="s">
        <v>43</v>
      </c>
    </row>
    <row r="21" spans="1:6" ht="28.5">
      <c r="A21" s="13">
        <v>9</v>
      </c>
      <c r="B21" s="13" t="s">
        <v>14</v>
      </c>
      <c r="C21" s="13" t="s">
        <v>7</v>
      </c>
      <c r="D21" s="13" t="s">
        <v>44</v>
      </c>
      <c r="E21" s="13" t="s">
        <v>45</v>
      </c>
      <c r="F21" s="13" t="s">
        <v>46</v>
      </c>
    </row>
    <row r="22" spans="1:6">
      <c r="A22" s="13">
        <v>10</v>
      </c>
      <c r="B22" s="13" t="s">
        <v>14</v>
      </c>
      <c r="C22" s="13" t="s">
        <v>7</v>
      </c>
      <c r="D22" s="13" t="s">
        <v>44</v>
      </c>
      <c r="E22" s="13" t="s">
        <v>47</v>
      </c>
      <c r="F22" s="13" t="s">
        <v>48</v>
      </c>
    </row>
    <row r="23" spans="1:6" ht="28.5">
      <c r="A23" s="13">
        <v>15</v>
      </c>
      <c r="B23" s="13" t="s">
        <v>14</v>
      </c>
      <c r="C23" s="13" t="s">
        <v>7</v>
      </c>
      <c r="D23" s="13" t="s">
        <v>49</v>
      </c>
      <c r="E23" s="13" t="s">
        <v>45</v>
      </c>
      <c r="F23" s="13" t="s">
        <v>50</v>
      </c>
    </row>
  </sheetData>
  <mergeCells count="3">
    <mergeCell ref="A1:H1"/>
    <mergeCell ref="A2:H2"/>
    <mergeCell ref="A12:H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66"/>
  <sheetViews>
    <sheetView showGridLines="0" tabSelected="1" workbookViewId="0">
      <selection activeCell="G2" sqref="G2:G66"/>
    </sheetView>
  </sheetViews>
  <sheetFormatPr defaultRowHeight="14.25"/>
  <cols>
    <col min="1" max="1" width="10" customWidth="1"/>
    <col min="2" max="2" width="9" customWidth="1"/>
    <col min="3" max="3" width="12" customWidth="1"/>
    <col min="4" max="4" width="16" customWidth="1"/>
    <col min="5" max="6" width="20" customWidth="1"/>
    <col min="7" max="7" width="14" customWidth="1"/>
    <col min="8" max="8" width="42" style="83" customWidth="1"/>
    <col min="9" max="10" width="58" style="83" customWidth="1"/>
    <col min="11" max="11" width="50" style="83" customWidth="1"/>
    <col min="12" max="12" width="54" style="83" customWidth="1"/>
    <col min="13" max="14" width="14" customWidth="1"/>
    <col min="15" max="15" width="56" customWidth="1"/>
  </cols>
  <sheetData>
    <row r="1" spans="1:15" ht="15">
      <c r="A1" s="31" t="s">
        <v>51</v>
      </c>
      <c r="B1" s="32" t="s">
        <v>22</v>
      </c>
      <c r="C1" s="32" t="s">
        <v>5</v>
      </c>
      <c r="D1" s="32" t="s">
        <v>2</v>
      </c>
      <c r="E1" s="32" t="s">
        <v>4</v>
      </c>
      <c r="F1" s="32" t="s">
        <v>24</v>
      </c>
      <c r="G1" s="32" t="s">
        <v>52</v>
      </c>
      <c r="H1" s="74" t="s">
        <v>25</v>
      </c>
      <c r="I1" s="74" t="s">
        <v>53</v>
      </c>
      <c r="J1" s="74" t="s">
        <v>54</v>
      </c>
      <c r="K1" s="74" t="s">
        <v>26</v>
      </c>
      <c r="L1" s="74" t="s">
        <v>55</v>
      </c>
      <c r="M1" s="32" t="s">
        <v>56</v>
      </c>
      <c r="N1" s="32" t="s">
        <v>57</v>
      </c>
      <c r="O1" s="33" t="s">
        <v>58</v>
      </c>
    </row>
    <row r="2" spans="1:15" ht="30" hidden="1">
      <c r="A2" s="64">
        <v>110.56</v>
      </c>
      <c r="B2" s="65">
        <v>56</v>
      </c>
      <c r="C2" s="66" t="s">
        <v>8</v>
      </c>
      <c r="D2" s="66" t="s">
        <v>9</v>
      </c>
      <c r="E2" s="66" t="s">
        <v>320</v>
      </c>
      <c r="F2" s="66" t="s">
        <v>27</v>
      </c>
      <c r="G2" s="66"/>
      <c r="H2" s="75" t="s">
        <v>28</v>
      </c>
      <c r="I2" s="75" t="s">
        <v>28</v>
      </c>
      <c r="J2" s="75" t="s">
        <v>59</v>
      </c>
      <c r="K2" s="75" t="s">
        <v>29</v>
      </c>
      <c r="L2" s="75" t="s">
        <v>60</v>
      </c>
      <c r="M2" s="67">
        <v>46071</v>
      </c>
      <c r="N2" s="67"/>
      <c r="O2" s="68"/>
    </row>
    <row r="3" spans="1:15" ht="42.75" hidden="1">
      <c r="A3" s="34">
        <v>110.58</v>
      </c>
      <c r="B3" s="35">
        <v>58</v>
      </c>
      <c r="C3" s="36" t="s">
        <v>8</v>
      </c>
      <c r="D3" s="36" t="s">
        <v>9</v>
      </c>
      <c r="E3" s="36" t="s">
        <v>7</v>
      </c>
      <c r="F3" s="36" t="s">
        <v>30</v>
      </c>
      <c r="G3" s="36"/>
      <c r="H3" s="76" t="s">
        <v>31</v>
      </c>
      <c r="I3" s="76" t="s">
        <v>31</v>
      </c>
      <c r="J3" s="76" t="s">
        <v>61</v>
      </c>
      <c r="K3" s="76" t="s">
        <v>32</v>
      </c>
      <c r="L3" s="76"/>
      <c r="M3" s="37">
        <v>46079</v>
      </c>
      <c r="N3" s="37"/>
      <c r="O3" s="38"/>
    </row>
    <row r="4" spans="1:15" hidden="1">
      <c r="A4" s="69">
        <v>110.6</v>
      </c>
      <c r="B4" s="70">
        <v>60</v>
      </c>
      <c r="C4" s="71" t="s">
        <v>8</v>
      </c>
      <c r="D4" s="71" t="s">
        <v>9</v>
      </c>
      <c r="E4" s="71" t="s">
        <v>7</v>
      </c>
      <c r="F4" s="71" t="s">
        <v>33</v>
      </c>
      <c r="G4" s="71"/>
      <c r="H4" s="77" t="s">
        <v>34</v>
      </c>
      <c r="I4" s="77" t="s">
        <v>34</v>
      </c>
      <c r="J4" s="77" t="s">
        <v>62</v>
      </c>
      <c r="K4" s="77" t="s">
        <v>35</v>
      </c>
      <c r="L4" s="77"/>
      <c r="M4" s="72"/>
      <c r="N4" s="72"/>
      <c r="O4" s="73" t="s">
        <v>63</v>
      </c>
    </row>
    <row r="5" spans="1:15" hidden="1">
      <c r="A5" s="34">
        <v>110.62</v>
      </c>
      <c r="B5" s="35">
        <v>62</v>
      </c>
      <c r="C5" s="36" t="s">
        <v>8</v>
      </c>
      <c r="D5" s="36" t="s">
        <v>9</v>
      </c>
      <c r="E5" s="36" t="s">
        <v>7</v>
      </c>
      <c r="F5" s="36"/>
      <c r="G5" s="36"/>
      <c r="H5" s="76" t="s">
        <v>36</v>
      </c>
      <c r="I5" s="76" t="s">
        <v>36</v>
      </c>
      <c r="J5" s="76" t="s">
        <v>64</v>
      </c>
      <c r="K5" s="76" t="s">
        <v>37</v>
      </c>
      <c r="L5" s="76"/>
      <c r="M5" s="37">
        <v>46195</v>
      </c>
      <c r="N5" s="37"/>
      <c r="O5" s="38"/>
    </row>
    <row r="6" spans="1:15" ht="42.75" hidden="1">
      <c r="A6" s="34">
        <v>110.64</v>
      </c>
      <c r="B6" s="35">
        <v>64</v>
      </c>
      <c r="C6" s="36" t="s">
        <v>8</v>
      </c>
      <c r="D6" s="36" t="s">
        <v>9</v>
      </c>
      <c r="E6" s="36" t="s">
        <v>7</v>
      </c>
      <c r="F6" s="36" t="s">
        <v>30</v>
      </c>
      <c r="G6" s="36"/>
      <c r="H6" s="76" t="s">
        <v>38</v>
      </c>
      <c r="I6" s="76" t="s">
        <v>38</v>
      </c>
      <c r="J6" s="76" t="s">
        <v>65</v>
      </c>
      <c r="K6" s="76" t="s">
        <v>39</v>
      </c>
      <c r="L6" s="76"/>
      <c r="M6" s="37">
        <v>46195</v>
      </c>
      <c r="N6" s="37"/>
      <c r="O6" s="38"/>
    </row>
    <row r="7" spans="1:15" ht="42.75" hidden="1">
      <c r="A7" s="34">
        <v>120.38</v>
      </c>
      <c r="B7" s="35">
        <v>38</v>
      </c>
      <c r="C7" s="36" t="s">
        <v>11</v>
      </c>
      <c r="D7" s="36" t="s">
        <v>9</v>
      </c>
      <c r="E7" s="36" t="s">
        <v>7</v>
      </c>
      <c r="F7" s="36" t="s">
        <v>33</v>
      </c>
      <c r="G7" s="36"/>
      <c r="H7" s="76" t="s">
        <v>40</v>
      </c>
      <c r="I7" s="76" t="s">
        <v>40</v>
      </c>
      <c r="J7" s="76" t="s">
        <v>66</v>
      </c>
      <c r="K7" s="76" t="s">
        <v>41</v>
      </c>
      <c r="L7" s="76"/>
      <c r="M7" s="37">
        <v>46034</v>
      </c>
      <c r="N7" s="37"/>
      <c r="O7" s="38"/>
    </row>
    <row r="8" spans="1:15" ht="28.5" hidden="1">
      <c r="A8" s="34">
        <v>130.08000000000001</v>
      </c>
      <c r="B8" s="35">
        <v>8</v>
      </c>
      <c r="C8" s="36" t="s">
        <v>14</v>
      </c>
      <c r="D8" s="36" t="s">
        <v>9</v>
      </c>
      <c r="E8" s="36" t="s">
        <v>7</v>
      </c>
      <c r="F8" s="36" t="s">
        <v>33</v>
      </c>
      <c r="G8" s="36" t="s">
        <v>67</v>
      </c>
      <c r="H8" s="76" t="s">
        <v>42</v>
      </c>
      <c r="I8" s="76" t="s">
        <v>42</v>
      </c>
      <c r="J8" s="76" t="s">
        <v>68</v>
      </c>
      <c r="K8" s="76" t="s">
        <v>43</v>
      </c>
      <c r="L8" s="76"/>
      <c r="M8" s="37">
        <v>45994</v>
      </c>
      <c r="N8" s="37"/>
      <c r="O8" s="38"/>
    </row>
    <row r="9" spans="1:15" ht="42.75" hidden="1">
      <c r="A9" s="34">
        <v>130.09</v>
      </c>
      <c r="B9" s="35">
        <v>9</v>
      </c>
      <c r="C9" s="36" t="s">
        <v>14</v>
      </c>
      <c r="D9" s="36" t="s">
        <v>9</v>
      </c>
      <c r="E9" s="36" t="s">
        <v>7</v>
      </c>
      <c r="F9" s="36" t="s">
        <v>44</v>
      </c>
      <c r="G9" s="36" t="s">
        <v>67</v>
      </c>
      <c r="H9" s="76" t="s">
        <v>45</v>
      </c>
      <c r="I9" s="76" t="s">
        <v>45</v>
      </c>
      <c r="J9" s="76" t="s">
        <v>69</v>
      </c>
      <c r="K9" s="76" t="s">
        <v>46</v>
      </c>
      <c r="L9" s="76" t="s">
        <v>70</v>
      </c>
      <c r="M9" s="37">
        <v>45995</v>
      </c>
      <c r="N9" s="37"/>
      <c r="O9" s="38"/>
    </row>
    <row r="10" spans="1:15" hidden="1">
      <c r="A10" s="34">
        <v>130.1</v>
      </c>
      <c r="B10" s="35">
        <v>10</v>
      </c>
      <c r="C10" s="36" t="s">
        <v>14</v>
      </c>
      <c r="D10" s="36" t="s">
        <v>9</v>
      </c>
      <c r="E10" s="36" t="s">
        <v>7</v>
      </c>
      <c r="F10" s="36" t="s">
        <v>44</v>
      </c>
      <c r="G10" s="36" t="s">
        <v>67</v>
      </c>
      <c r="H10" s="76" t="s">
        <v>47</v>
      </c>
      <c r="I10" s="76" t="s">
        <v>47</v>
      </c>
      <c r="J10" s="76" t="s">
        <v>71</v>
      </c>
      <c r="K10" s="76" t="s">
        <v>48</v>
      </c>
      <c r="L10" s="76" t="s">
        <v>72</v>
      </c>
      <c r="M10" s="37">
        <v>45995</v>
      </c>
      <c r="N10" s="37"/>
      <c r="O10" s="38"/>
    </row>
    <row r="11" spans="1:15" ht="42.75">
      <c r="A11" s="34">
        <v>130.15</v>
      </c>
      <c r="B11" s="35">
        <v>15</v>
      </c>
      <c r="C11" s="36" t="s">
        <v>14</v>
      </c>
      <c r="D11" s="36" t="s">
        <v>9</v>
      </c>
      <c r="E11" s="36" t="s">
        <v>7</v>
      </c>
      <c r="F11" s="36" t="s">
        <v>49</v>
      </c>
      <c r="G11" s="36" t="s">
        <v>73</v>
      </c>
      <c r="H11" s="76" t="s">
        <v>45</v>
      </c>
      <c r="I11" s="76" t="s">
        <v>45</v>
      </c>
      <c r="J11" s="76" t="s">
        <v>74</v>
      </c>
      <c r="K11" s="76" t="s">
        <v>50</v>
      </c>
      <c r="L11" s="76" t="s">
        <v>70</v>
      </c>
      <c r="M11" s="37" t="s">
        <v>75</v>
      </c>
      <c r="N11" s="37"/>
      <c r="O11" s="38"/>
    </row>
    <row r="12" spans="1:15" ht="42.75">
      <c r="A12" s="34">
        <v>130.16</v>
      </c>
      <c r="B12" s="35">
        <v>16</v>
      </c>
      <c r="C12" s="36" t="s">
        <v>14</v>
      </c>
      <c r="D12" s="36" t="s">
        <v>9</v>
      </c>
      <c r="E12" s="36" t="s">
        <v>7</v>
      </c>
      <c r="F12" s="36" t="s">
        <v>76</v>
      </c>
      <c r="G12" s="36" t="s">
        <v>73</v>
      </c>
      <c r="H12" s="76" t="s">
        <v>45</v>
      </c>
      <c r="I12" s="76" t="s">
        <v>45</v>
      </c>
      <c r="J12" s="76" t="s">
        <v>77</v>
      </c>
      <c r="K12" s="76" t="s">
        <v>78</v>
      </c>
      <c r="L12" s="76" t="s">
        <v>70</v>
      </c>
      <c r="M12" s="37" t="s">
        <v>75</v>
      </c>
      <c r="N12" s="37"/>
      <c r="O12" s="38"/>
    </row>
    <row r="13" spans="1:15" ht="42.75">
      <c r="A13" s="34">
        <v>130.16999999999999</v>
      </c>
      <c r="B13" s="35">
        <v>17</v>
      </c>
      <c r="C13" s="36" t="s">
        <v>14</v>
      </c>
      <c r="D13" s="36" t="s">
        <v>9</v>
      </c>
      <c r="E13" s="36" t="s">
        <v>7</v>
      </c>
      <c r="F13" s="36" t="s">
        <v>79</v>
      </c>
      <c r="G13" s="36" t="s">
        <v>73</v>
      </c>
      <c r="H13" s="76" t="s">
        <v>45</v>
      </c>
      <c r="I13" s="76" t="s">
        <v>45</v>
      </c>
      <c r="J13" s="76" t="s">
        <v>80</v>
      </c>
      <c r="K13" s="76" t="s">
        <v>78</v>
      </c>
      <c r="L13" s="76" t="s">
        <v>70</v>
      </c>
      <c r="M13" s="37" t="s">
        <v>75</v>
      </c>
      <c r="N13" s="37"/>
      <c r="O13" s="38"/>
    </row>
    <row r="14" spans="1:15" hidden="1">
      <c r="A14" s="34">
        <v>130.38999999999999</v>
      </c>
      <c r="B14" s="35">
        <v>39</v>
      </c>
      <c r="C14" s="36" t="s">
        <v>14</v>
      </c>
      <c r="D14" s="36" t="s">
        <v>9</v>
      </c>
      <c r="E14" s="36" t="s">
        <v>7</v>
      </c>
      <c r="F14" s="36"/>
      <c r="G14" s="36"/>
      <c r="H14" s="76" t="s">
        <v>81</v>
      </c>
      <c r="I14" s="76" t="s">
        <v>81</v>
      </c>
      <c r="J14" s="76" t="s">
        <v>82</v>
      </c>
      <c r="K14" s="76" t="s">
        <v>83</v>
      </c>
      <c r="L14" s="76"/>
      <c r="M14" s="37">
        <v>46043</v>
      </c>
      <c r="N14" s="37"/>
      <c r="O14" s="38" t="s">
        <v>84</v>
      </c>
    </row>
    <row r="15" spans="1:15" ht="57" hidden="1">
      <c r="A15" s="34">
        <v>130.43</v>
      </c>
      <c r="B15" s="35">
        <v>43</v>
      </c>
      <c r="C15" s="36" t="s">
        <v>14</v>
      </c>
      <c r="D15" s="36" t="s">
        <v>9</v>
      </c>
      <c r="E15" s="36" t="s">
        <v>7</v>
      </c>
      <c r="F15" s="36" t="s">
        <v>85</v>
      </c>
      <c r="G15" s="36"/>
      <c r="H15" s="76" t="s">
        <v>86</v>
      </c>
      <c r="I15" s="76" t="s">
        <v>87</v>
      </c>
      <c r="J15" s="76" t="s">
        <v>88</v>
      </c>
      <c r="K15" s="76" t="s">
        <v>89</v>
      </c>
      <c r="L15" s="76" t="s">
        <v>90</v>
      </c>
      <c r="M15" s="37">
        <v>46043</v>
      </c>
      <c r="N15" s="37"/>
      <c r="O15" s="38"/>
    </row>
    <row r="16" spans="1:15" ht="42.75" hidden="1">
      <c r="A16" s="34">
        <v>130.5</v>
      </c>
      <c r="B16" s="35">
        <v>50</v>
      </c>
      <c r="C16" s="36" t="s">
        <v>14</v>
      </c>
      <c r="D16" s="36" t="s">
        <v>9</v>
      </c>
      <c r="E16" s="36" t="s">
        <v>7</v>
      </c>
      <c r="F16" s="36" t="s">
        <v>44</v>
      </c>
      <c r="G16" s="36"/>
      <c r="H16" s="76" t="s">
        <v>91</v>
      </c>
      <c r="I16" s="76" t="s">
        <v>91</v>
      </c>
      <c r="J16" s="76" t="s">
        <v>92</v>
      </c>
      <c r="K16" s="76" t="s">
        <v>93</v>
      </c>
      <c r="L16" s="76" t="s">
        <v>94</v>
      </c>
      <c r="M16" s="37">
        <v>46062</v>
      </c>
      <c r="N16" s="37"/>
      <c r="O16" s="38"/>
    </row>
    <row r="17" spans="1:15" ht="28.5" hidden="1">
      <c r="A17" s="34">
        <v>130.51</v>
      </c>
      <c r="B17" s="35">
        <v>51</v>
      </c>
      <c r="C17" s="36" t="s">
        <v>14</v>
      </c>
      <c r="D17" s="36" t="s">
        <v>9</v>
      </c>
      <c r="E17" s="36" t="s">
        <v>7</v>
      </c>
      <c r="F17" s="36" t="s">
        <v>85</v>
      </c>
      <c r="G17" s="36"/>
      <c r="H17" s="76" t="s">
        <v>95</v>
      </c>
      <c r="I17" s="76" t="s">
        <v>95</v>
      </c>
      <c r="J17" s="76" t="s">
        <v>96</v>
      </c>
      <c r="K17" s="76" t="s">
        <v>97</v>
      </c>
      <c r="L17" s="76" t="s">
        <v>90</v>
      </c>
      <c r="M17" s="37">
        <v>46062</v>
      </c>
      <c r="N17" s="37"/>
      <c r="O17" s="38"/>
    </row>
    <row r="18" spans="1:15" ht="28.5" hidden="1">
      <c r="A18" s="34">
        <v>130.57</v>
      </c>
      <c r="B18" s="35">
        <v>57</v>
      </c>
      <c r="C18" s="36" t="s">
        <v>14</v>
      </c>
      <c r="D18" s="36" t="s">
        <v>9</v>
      </c>
      <c r="E18" s="36" t="s">
        <v>7</v>
      </c>
      <c r="F18" s="36" t="s">
        <v>44</v>
      </c>
      <c r="G18" s="36"/>
      <c r="H18" s="76" t="s">
        <v>98</v>
      </c>
      <c r="I18" s="76" t="s">
        <v>98</v>
      </c>
      <c r="J18" s="76" t="s">
        <v>99</v>
      </c>
      <c r="K18" s="76" t="s">
        <v>100</v>
      </c>
      <c r="L18" s="76" t="s">
        <v>94</v>
      </c>
      <c r="M18" s="37">
        <v>46079</v>
      </c>
      <c r="N18" s="37"/>
      <c r="O18" s="38"/>
    </row>
    <row r="19" spans="1:15" ht="42.75" hidden="1">
      <c r="A19" s="34">
        <v>130.61000000000001</v>
      </c>
      <c r="B19" s="35">
        <v>61</v>
      </c>
      <c r="C19" s="36" t="s">
        <v>14</v>
      </c>
      <c r="D19" s="36" t="s">
        <v>9</v>
      </c>
      <c r="E19" s="36" t="s">
        <v>7</v>
      </c>
      <c r="F19" s="36" t="s">
        <v>33</v>
      </c>
      <c r="G19" s="36"/>
      <c r="H19" s="76" t="s">
        <v>101</v>
      </c>
      <c r="I19" s="76" t="s">
        <v>101</v>
      </c>
      <c r="J19" s="76" t="s">
        <v>102</v>
      </c>
      <c r="K19" s="76" t="s">
        <v>103</v>
      </c>
      <c r="L19" s="76" t="s">
        <v>104</v>
      </c>
      <c r="M19" s="37">
        <v>46091</v>
      </c>
      <c r="N19" s="37"/>
      <c r="O19" s="38"/>
    </row>
    <row r="20" spans="1:15" hidden="1">
      <c r="A20" s="34">
        <v>140.02000000000001</v>
      </c>
      <c r="B20" s="35">
        <v>2</v>
      </c>
      <c r="C20" s="36" t="s">
        <v>17</v>
      </c>
      <c r="D20" s="36" t="s">
        <v>9</v>
      </c>
      <c r="E20" s="36" t="s">
        <v>7</v>
      </c>
      <c r="F20" s="36" t="s">
        <v>30</v>
      </c>
      <c r="G20" s="36" t="s">
        <v>67</v>
      </c>
      <c r="H20" s="76" t="s">
        <v>105</v>
      </c>
      <c r="I20" s="76" t="s">
        <v>105</v>
      </c>
      <c r="J20" s="76" t="s">
        <v>106</v>
      </c>
      <c r="K20" s="76" t="s">
        <v>107</v>
      </c>
      <c r="L20" s="76"/>
      <c r="M20" s="37">
        <v>45994</v>
      </c>
      <c r="N20" s="37"/>
      <c r="O20" s="38"/>
    </row>
    <row r="21" spans="1:15" ht="28.5" hidden="1">
      <c r="A21" s="34">
        <v>140.03</v>
      </c>
      <c r="B21" s="35">
        <v>3</v>
      </c>
      <c r="C21" s="36" t="s">
        <v>17</v>
      </c>
      <c r="D21" s="36" t="s">
        <v>9</v>
      </c>
      <c r="E21" s="36" t="s">
        <v>7</v>
      </c>
      <c r="F21" s="36" t="s">
        <v>33</v>
      </c>
      <c r="G21" s="36" t="s">
        <v>67</v>
      </c>
      <c r="H21" s="76" t="s">
        <v>108</v>
      </c>
      <c r="I21" s="76" t="s">
        <v>108</v>
      </c>
      <c r="J21" s="76" t="s">
        <v>109</v>
      </c>
      <c r="K21" s="76" t="s">
        <v>110</v>
      </c>
      <c r="L21" s="76"/>
      <c r="M21" s="37">
        <v>45994</v>
      </c>
      <c r="N21" s="37"/>
      <c r="O21" s="38" t="s">
        <v>111</v>
      </c>
    </row>
    <row r="22" spans="1:15" ht="28.5" hidden="1">
      <c r="A22" s="34">
        <v>140.05000000000001</v>
      </c>
      <c r="B22" s="35">
        <v>5</v>
      </c>
      <c r="C22" s="36" t="s">
        <v>17</v>
      </c>
      <c r="D22" s="36" t="s">
        <v>9</v>
      </c>
      <c r="E22" s="36" t="s">
        <v>7</v>
      </c>
      <c r="F22" s="36" t="s">
        <v>112</v>
      </c>
      <c r="G22" s="36" t="s">
        <v>67</v>
      </c>
      <c r="H22" s="76" t="s">
        <v>113</v>
      </c>
      <c r="I22" s="76" t="s">
        <v>113</v>
      </c>
      <c r="J22" s="76" t="s">
        <v>114</v>
      </c>
      <c r="K22" s="76" t="s">
        <v>115</v>
      </c>
      <c r="L22" s="76"/>
      <c r="M22" s="37">
        <v>45994</v>
      </c>
      <c r="N22" s="37"/>
      <c r="O22" s="38"/>
    </row>
    <row r="23" spans="1:15" ht="28.5" hidden="1">
      <c r="A23" s="34">
        <v>140.06</v>
      </c>
      <c r="B23" s="35">
        <v>6</v>
      </c>
      <c r="C23" s="36" t="s">
        <v>17</v>
      </c>
      <c r="D23" s="36" t="s">
        <v>9</v>
      </c>
      <c r="E23" s="36" t="s">
        <v>7</v>
      </c>
      <c r="F23" s="36" t="s">
        <v>112</v>
      </c>
      <c r="G23" s="36" t="s">
        <v>67</v>
      </c>
      <c r="H23" s="76" t="s">
        <v>116</v>
      </c>
      <c r="I23" s="76" t="s">
        <v>116</v>
      </c>
      <c r="J23" s="76" t="s">
        <v>117</v>
      </c>
      <c r="K23" s="76" t="s">
        <v>118</v>
      </c>
      <c r="L23" s="76"/>
      <c r="M23" s="37">
        <v>45994</v>
      </c>
      <c r="N23" s="37"/>
      <c r="O23" s="38"/>
    </row>
    <row r="24" spans="1:15" ht="57">
      <c r="A24" s="34">
        <v>140.13999999999999</v>
      </c>
      <c r="B24" s="35">
        <v>14</v>
      </c>
      <c r="C24" s="36" t="s">
        <v>17</v>
      </c>
      <c r="D24" s="36" t="s">
        <v>9</v>
      </c>
      <c r="E24" s="36" t="s">
        <v>7</v>
      </c>
      <c r="F24" s="36" t="s">
        <v>27</v>
      </c>
      <c r="G24" s="36" t="s">
        <v>73</v>
      </c>
      <c r="H24" s="76" t="s">
        <v>119</v>
      </c>
      <c r="I24" s="76" t="s">
        <v>120</v>
      </c>
      <c r="J24" s="76" t="s">
        <v>121</v>
      </c>
      <c r="K24" s="76" t="s">
        <v>122</v>
      </c>
      <c r="L24" s="76"/>
      <c r="M24" s="37">
        <v>46007</v>
      </c>
      <c r="N24" s="37"/>
      <c r="O24" s="38"/>
    </row>
    <row r="25" spans="1:15" ht="42.75" hidden="1">
      <c r="A25" s="39">
        <v>220.44</v>
      </c>
      <c r="B25" s="40">
        <v>44</v>
      </c>
      <c r="C25" s="41" t="s">
        <v>11</v>
      </c>
      <c r="D25" s="41" t="s">
        <v>9</v>
      </c>
      <c r="E25" s="41" t="s">
        <v>10</v>
      </c>
      <c r="F25" s="41" t="s">
        <v>27</v>
      </c>
      <c r="G25" s="41"/>
      <c r="H25" s="78" t="s">
        <v>123</v>
      </c>
      <c r="I25" s="78" t="s">
        <v>123</v>
      </c>
      <c r="J25" s="78" t="s">
        <v>124</v>
      </c>
      <c r="K25" s="78" t="s">
        <v>125</v>
      </c>
      <c r="L25" s="78" t="s">
        <v>126</v>
      </c>
      <c r="M25" s="42">
        <v>46044</v>
      </c>
      <c r="N25" s="42"/>
      <c r="O25" s="43" t="s">
        <v>127</v>
      </c>
    </row>
    <row r="26" spans="1:15" ht="142.5" hidden="1">
      <c r="A26" s="39">
        <v>230.41</v>
      </c>
      <c r="B26" s="40">
        <v>41</v>
      </c>
      <c r="C26" s="41" t="s">
        <v>14</v>
      </c>
      <c r="D26" s="41" t="s">
        <v>9</v>
      </c>
      <c r="E26" s="41" t="s">
        <v>10</v>
      </c>
      <c r="F26" s="41"/>
      <c r="G26" s="41"/>
      <c r="H26" s="78" t="s">
        <v>128</v>
      </c>
      <c r="I26" s="78" t="s">
        <v>129</v>
      </c>
      <c r="J26" s="78" t="s">
        <v>130</v>
      </c>
      <c r="K26" s="78" t="s">
        <v>131</v>
      </c>
      <c r="L26" s="78" t="s">
        <v>132</v>
      </c>
      <c r="M26" s="42">
        <v>46043</v>
      </c>
      <c r="N26" s="42"/>
      <c r="O26" s="43" t="s">
        <v>127</v>
      </c>
    </row>
    <row r="27" spans="1:15" ht="42.75" hidden="1">
      <c r="A27" s="39">
        <v>230.49</v>
      </c>
      <c r="B27" s="40">
        <v>49</v>
      </c>
      <c r="C27" s="41" t="s">
        <v>14</v>
      </c>
      <c r="D27" s="41" t="s">
        <v>9</v>
      </c>
      <c r="E27" s="41" t="s">
        <v>10</v>
      </c>
      <c r="F27" s="41"/>
      <c r="G27" s="41"/>
      <c r="H27" s="78" t="s">
        <v>133</v>
      </c>
      <c r="I27" s="78" t="s">
        <v>133</v>
      </c>
      <c r="J27" s="78" t="s">
        <v>134</v>
      </c>
      <c r="K27" s="78" t="s">
        <v>135</v>
      </c>
      <c r="L27" s="78" t="s">
        <v>136</v>
      </c>
      <c r="M27" s="42">
        <v>46051</v>
      </c>
      <c r="N27" s="42"/>
      <c r="O27" s="43"/>
    </row>
    <row r="28" spans="1:15" ht="57" hidden="1">
      <c r="A28" s="39">
        <v>230.52</v>
      </c>
      <c r="B28" s="40">
        <v>52</v>
      </c>
      <c r="C28" s="41" t="s">
        <v>14</v>
      </c>
      <c r="D28" s="41" t="s">
        <v>9</v>
      </c>
      <c r="E28" s="41" t="s">
        <v>10</v>
      </c>
      <c r="F28" s="41" t="s">
        <v>30</v>
      </c>
      <c r="G28" s="41"/>
      <c r="H28" s="78" t="s">
        <v>137</v>
      </c>
      <c r="I28" s="78" t="s">
        <v>137</v>
      </c>
      <c r="J28" s="78" t="s">
        <v>138</v>
      </c>
      <c r="K28" s="78" t="s">
        <v>139</v>
      </c>
      <c r="L28" s="78" t="s">
        <v>140</v>
      </c>
      <c r="M28" s="42">
        <v>46062</v>
      </c>
      <c r="N28" s="42"/>
      <c r="O28" s="43"/>
    </row>
    <row r="29" spans="1:15" ht="28.5" hidden="1">
      <c r="A29" s="39">
        <v>230.59</v>
      </c>
      <c r="B29" s="40">
        <v>59</v>
      </c>
      <c r="C29" s="41" t="s">
        <v>14</v>
      </c>
      <c r="D29" s="41" t="s">
        <v>9</v>
      </c>
      <c r="E29" s="41" t="s">
        <v>10</v>
      </c>
      <c r="F29" s="41" t="s">
        <v>112</v>
      </c>
      <c r="G29" s="41"/>
      <c r="H29" s="78" t="s">
        <v>141</v>
      </c>
      <c r="I29" s="78" t="s">
        <v>141</v>
      </c>
      <c r="J29" s="78" t="s">
        <v>142</v>
      </c>
      <c r="K29" s="78" t="s">
        <v>143</v>
      </c>
      <c r="L29" s="78" t="s">
        <v>144</v>
      </c>
      <c r="M29" s="42">
        <v>46079</v>
      </c>
      <c r="N29" s="42"/>
      <c r="O29" s="43"/>
    </row>
    <row r="30" spans="1:15" ht="42.75" hidden="1">
      <c r="A30" s="39">
        <v>250.26</v>
      </c>
      <c r="B30" s="40">
        <v>26</v>
      </c>
      <c r="C30" s="41" t="s">
        <v>19</v>
      </c>
      <c r="D30" s="41" t="s">
        <v>6</v>
      </c>
      <c r="E30" s="41" t="s">
        <v>10</v>
      </c>
      <c r="F30" s="41" t="s">
        <v>44</v>
      </c>
      <c r="G30" s="41" t="s">
        <v>73</v>
      </c>
      <c r="H30" s="78" t="s">
        <v>145</v>
      </c>
      <c r="I30" s="78" t="s">
        <v>145</v>
      </c>
      <c r="J30" s="78" t="s">
        <v>146</v>
      </c>
      <c r="K30" s="78" t="s">
        <v>147</v>
      </c>
      <c r="L30" s="78" t="s">
        <v>94</v>
      </c>
      <c r="M30" s="42">
        <v>46014</v>
      </c>
      <c r="N30" s="42"/>
      <c r="O30" s="43"/>
    </row>
    <row r="31" spans="1:15" ht="42.75" hidden="1">
      <c r="A31" s="44">
        <v>350.28</v>
      </c>
      <c r="B31" s="45">
        <v>28</v>
      </c>
      <c r="C31" s="46" t="s">
        <v>19</v>
      </c>
      <c r="D31" s="46" t="s">
        <v>12</v>
      </c>
      <c r="E31" s="46" t="s">
        <v>13</v>
      </c>
      <c r="F31" s="46" t="s">
        <v>85</v>
      </c>
      <c r="G31" s="46" t="s">
        <v>148</v>
      </c>
      <c r="H31" s="79" t="s">
        <v>149</v>
      </c>
      <c r="I31" s="79" t="s">
        <v>149</v>
      </c>
      <c r="J31" s="79" t="s">
        <v>150</v>
      </c>
      <c r="K31" s="79" t="s">
        <v>151</v>
      </c>
      <c r="L31" s="79" t="s">
        <v>152</v>
      </c>
      <c r="M31" s="47">
        <v>46016</v>
      </c>
      <c r="N31" s="47"/>
      <c r="O31" s="48" t="s">
        <v>153</v>
      </c>
    </row>
    <row r="32" spans="1:15" ht="28.5" hidden="1">
      <c r="A32" s="44">
        <v>410.65</v>
      </c>
      <c r="B32" s="45">
        <v>65</v>
      </c>
      <c r="C32" s="46" t="s">
        <v>8</v>
      </c>
      <c r="D32" s="46" t="s">
        <v>9</v>
      </c>
      <c r="E32" s="46" t="s">
        <v>16</v>
      </c>
      <c r="F32" s="46"/>
      <c r="G32" s="46"/>
      <c r="H32" s="79" t="s">
        <v>154</v>
      </c>
      <c r="I32" s="79" t="s">
        <v>154</v>
      </c>
      <c r="J32" s="79" t="s">
        <v>155</v>
      </c>
      <c r="K32" s="79" t="s">
        <v>156</v>
      </c>
      <c r="L32" s="79" t="s">
        <v>157</v>
      </c>
      <c r="M32" s="47">
        <v>46195</v>
      </c>
      <c r="N32" s="47"/>
      <c r="O32" s="48"/>
    </row>
    <row r="33" spans="1:15" ht="42.75" hidden="1">
      <c r="A33" s="49">
        <v>810.37</v>
      </c>
      <c r="B33" s="50">
        <v>37</v>
      </c>
      <c r="C33" s="51" t="s">
        <v>8</v>
      </c>
      <c r="D33" s="51" t="s">
        <v>9</v>
      </c>
      <c r="E33" s="51" t="s">
        <v>18</v>
      </c>
      <c r="F33" s="51" t="s">
        <v>49</v>
      </c>
      <c r="G33" s="51"/>
      <c r="H33" s="80" t="s">
        <v>158</v>
      </c>
      <c r="I33" s="80" t="s">
        <v>158</v>
      </c>
      <c r="J33" s="80" t="s">
        <v>159</v>
      </c>
      <c r="K33" s="80" t="s">
        <v>160</v>
      </c>
      <c r="L33" s="80" t="s">
        <v>161</v>
      </c>
      <c r="M33" s="52">
        <v>46029</v>
      </c>
      <c r="N33" s="52"/>
      <c r="O33" s="53"/>
    </row>
    <row r="34" spans="1:15" ht="42.75" hidden="1">
      <c r="A34" s="49">
        <v>810.42</v>
      </c>
      <c r="B34" s="50">
        <v>42</v>
      </c>
      <c r="C34" s="51" t="s">
        <v>8</v>
      </c>
      <c r="D34" s="51" t="s">
        <v>9</v>
      </c>
      <c r="E34" s="51" t="s">
        <v>18</v>
      </c>
      <c r="F34" s="51"/>
      <c r="G34" s="51"/>
      <c r="H34" s="80" t="s">
        <v>162</v>
      </c>
      <c r="I34" s="80" t="s">
        <v>162</v>
      </c>
      <c r="J34" s="80" t="s">
        <v>163</v>
      </c>
      <c r="K34" s="80" t="s">
        <v>164</v>
      </c>
      <c r="L34" s="80" t="s">
        <v>165</v>
      </c>
      <c r="M34" s="52">
        <v>46043</v>
      </c>
      <c r="N34" s="52"/>
      <c r="O34" s="53"/>
    </row>
    <row r="35" spans="1:15" ht="28.5" hidden="1">
      <c r="A35" s="49">
        <v>810.45</v>
      </c>
      <c r="B35" s="50">
        <v>45</v>
      </c>
      <c r="C35" s="51" t="s">
        <v>8</v>
      </c>
      <c r="D35" s="51" t="s">
        <v>9</v>
      </c>
      <c r="E35" s="51" t="s">
        <v>18</v>
      </c>
      <c r="F35" s="51" t="s">
        <v>30</v>
      </c>
      <c r="G35" s="51"/>
      <c r="H35" s="80" t="s">
        <v>166</v>
      </c>
      <c r="I35" s="80" t="s">
        <v>166</v>
      </c>
      <c r="J35" s="80" t="s">
        <v>167</v>
      </c>
      <c r="K35" s="80" t="s">
        <v>168</v>
      </c>
      <c r="L35" s="80" t="s">
        <v>169</v>
      </c>
      <c r="M35" s="52">
        <v>46044</v>
      </c>
      <c r="N35" s="52"/>
      <c r="O35" s="53" t="s">
        <v>127</v>
      </c>
    </row>
    <row r="36" spans="1:15" ht="28.5" hidden="1">
      <c r="A36" s="49">
        <v>810.46</v>
      </c>
      <c r="B36" s="50">
        <v>46</v>
      </c>
      <c r="C36" s="51" t="s">
        <v>8</v>
      </c>
      <c r="D36" s="51" t="s">
        <v>9</v>
      </c>
      <c r="E36" s="51" t="s">
        <v>18</v>
      </c>
      <c r="F36" s="51" t="s">
        <v>33</v>
      </c>
      <c r="G36" s="51"/>
      <c r="H36" s="80" t="s">
        <v>170</v>
      </c>
      <c r="I36" s="80" t="s">
        <v>170</v>
      </c>
      <c r="J36" s="80" t="s">
        <v>171</v>
      </c>
      <c r="K36" s="80" t="s">
        <v>172</v>
      </c>
      <c r="L36" s="80" t="s">
        <v>173</v>
      </c>
      <c r="M36" s="52">
        <v>46044</v>
      </c>
      <c r="N36" s="52"/>
      <c r="O36" s="53" t="s">
        <v>127</v>
      </c>
    </row>
    <row r="37" spans="1:15" ht="42.75" hidden="1">
      <c r="A37" s="49">
        <v>810.47</v>
      </c>
      <c r="B37" s="50">
        <v>47</v>
      </c>
      <c r="C37" s="51" t="s">
        <v>8</v>
      </c>
      <c r="D37" s="51" t="s">
        <v>9</v>
      </c>
      <c r="E37" s="51" t="s">
        <v>18</v>
      </c>
      <c r="F37" s="51" t="s">
        <v>112</v>
      </c>
      <c r="G37" s="51"/>
      <c r="H37" s="80" t="s">
        <v>174</v>
      </c>
      <c r="I37" s="80" t="s">
        <v>174</v>
      </c>
      <c r="J37" s="80" t="s">
        <v>175</v>
      </c>
      <c r="K37" s="80" t="s">
        <v>176</v>
      </c>
      <c r="L37" s="80" t="s">
        <v>177</v>
      </c>
      <c r="M37" s="52">
        <v>46049</v>
      </c>
      <c r="N37" s="52"/>
      <c r="O37" s="53" t="s">
        <v>127</v>
      </c>
    </row>
    <row r="38" spans="1:15" ht="28.5" hidden="1">
      <c r="A38" s="49">
        <v>810.53</v>
      </c>
      <c r="B38" s="50">
        <v>53</v>
      </c>
      <c r="C38" s="51" t="s">
        <v>8</v>
      </c>
      <c r="D38" s="51" t="s">
        <v>9</v>
      </c>
      <c r="E38" s="51" t="s">
        <v>18</v>
      </c>
      <c r="F38" s="51" t="s">
        <v>33</v>
      </c>
      <c r="G38" s="51"/>
      <c r="H38" s="80" t="s">
        <v>178</v>
      </c>
      <c r="I38" s="80" t="s">
        <v>178</v>
      </c>
      <c r="J38" s="80" t="s">
        <v>179</v>
      </c>
      <c r="K38" s="80" t="s">
        <v>180</v>
      </c>
      <c r="L38" s="80" t="s">
        <v>173</v>
      </c>
      <c r="M38" s="52">
        <v>46064</v>
      </c>
      <c r="N38" s="52"/>
      <c r="O38" s="53" t="s">
        <v>127</v>
      </c>
    </row>
    <row r="39" spans="1:15" ht="28.5" hidden="1">
      <c r="A39" s="49">
        <v>810.55</v>
      </c>
      <c r="B39" s="50">
        <v>55</v>
      </c>
      <c r="C39" s="51" t="s">
        <v>8</v>
      </c>
      <c r="D39" s="51" t="s">
        <v>6</v>
      </c>
      <c r="E39" s="51" t="s">
        <v>18</v>
      </c>
      <c r="F39" s="51" t="s">
        <v>44</v>
      </c>
      <c r="G39" s="51"/>
      <c r="H39" s="80" t="s">
        <v>181</v>
      </c>
      <c r="I39" s="80" t="s">
        <v>181</v>
      </c>
      <c r="J39" s="80" t="s">
        <v>182</v>
      </c>
      <c r="K39" s="80" t="s">
        <v>183</v>
      </c>
      <c r="L39" s="80" t="s">
        <v>184</v>
      </c>
      <c r="M39" s="52">
        <v>46071</v>
      </c>
      <c r="N39" s="52"/>
      <c r="O39" s="53"/>
    </row>
    <row r="40" spans="1:15" ht="42.75" hidden="1">
      <c r="A40" s="49">
        <v>810.63</v>
      </c>
      <c r="B40" s="50">
        <v>63</v>
      </c>
      <c r="C40" s="51" t="s">
        <v>8</v>
      </c>
      <c r="D40" s="51" t="s">
        <v>6</v>
      </c>
      <c r="E40" s="51" t="s">
        <v>18</v>
      </c>
      <c r="F40" s="51"/>
      <c r="G40" s="51"/>
      <c r="H40" s="80" t="s">
        <v>185</v>
      </c>
      <c r="I40" s="80" t="s">
        <v>185</v>
      </c>
      <c r="J40" s="80" t="s">
        <v>186</v>
      </c>
      <c r="K40" s="80" t="s">
        <v>187</v>
      </c>
      <c r="L40" s="80" t="s">
        <v>188</v>
      </c>
      <c r="M40" s="52">
        <v>46195</v>
      </c>
      <c r="N40" s="52"/>
      <c r="O40" s="53" t="s">
        <v>189</v>
      </c>
    </row>
    <row r="41" spans="1:15" hidden="1">
      <c r="A41" s="49">
        <v>820.12</v>
      </c>
      <c r="B41" s="50">
        <v>12</v>
      </c>
      <c r="C41" s="51" t="s">
        <v>11</v>
      </c>
      <c r="D41" s="51" t="s">
        <v>9</v>
      </c>
      <c r="E41" s="51" t="s">
        <v>18</v>
      </c>
      <c r="F41" s="51" t="s">
        <v>49</v>
      </c>
      <c r="G41" s="51" t="s">
        <v>73</v>
      </c>
      <c r="H41" s="80" t="s">
        <v>190</v>
      </c>
      <c r="I41" s="80" t="s">
        <v>190</v>
      </c>
      <c r="J41" s="80" t="s">
        <v>191</v>
      </c>
      <c r="K41" s="80" t="s">
        <v>192</v>
      </c>
      <c r="L41" s="80" t="s">
        <v>193</v>
      </c>
      <c r="M41" s="52">
        <v>46007</v>
      </c>
      <c r="N41" s="52"/>
      <c r="O41" s="53"/>
    </row>
    <row r="42" spans="1:15" ht="57" hidden="1">
      <c r="A42" s="49">
        <v>820.31</v>
      </c>
      <c r="B42" s="50">
        <v>31</v>
      </c>
      <c r="C42" s="51" t="s">
        <v>11</v>
      </c>
      <c r="D42" s="51" t="s">
        <v>9</v>
      </c>
      <c r="E42" s="51" t="s">
        <v>18</v>
      </c>
      <c r="F42" s="51" t="s">
        <v>49</v>
      </c>
      <c r="G42" s="51"/>
      <c r="H42" s="80" t="s">
        <v>194</v>
      </c>
      <c r="I42" s="80" t="s">
        <v>194</v>
      </c>
      <c r="J42" s="80" t="s">
        <v>195</v>
      </c>
      <c r="K42" s="80" t="s">
        <v>196</v>
      </c>
      <c r="L42" s="80" t="s">
        <v>197</v>
      </c>
      <c r="M42" s="52">
        <v>46029</v>
      </c>
      <c r="N42" s="52"/>
      <c r="O42" s="53"/>
    </row>
    <row r="43" spans="1:15" ht="28.5" hidden="1">
      <c r="A43" s="49">
        <v>820.48</v>
      </c>
      <c r="B43" s="50">
        <v>48</v>
      </c>
      <c r="C43" s="51" t="s">
        <v>11</v>
      </c>
      <c r="D43" s="51" t="s">
        <v>6</v>
      </c>
      <c r="E43" s="51" t="s">
        <v>18</v>
      </c>
      <c r="F43" s="51" t="s">
        <v>27</v>
      </c>
      <c r="G43" s="51"/>
      <c r="H43" s="80" t="s">
        <v>198</v>
      </c>
      <c r="I43" s="80" t="s">
        <v>198</v>
      </c>
      <c r="J43" s="80" t="s">
        <v>199</v>
      </c>
      <c r="K43" s="80" t="s">
        <v>200</v>
      </c>
      <c r="L43" s="80" t="s">
        <v>201</v>
      </c>
      <c r="M43" s="52">
        <v>46051</v>
      </c>
      <c r="N43" s="52"/>
      <c r="O43" s="53"/>
    </row>
    <row r="44" spans="1:15" ht="57" hidden="1">
      <c r="A44" s="49">
        <v>820.54</v>
      </c>
      <c r="B44" s="50">
        <v>54</v>
      </c>
      <c r="C44" s="51" t="s">
        <v>11</v>
      </c>
      <c r="D44" s="51" t="s">
        <v>6</v>
      </c>
      <c r="E44" s="51" t="s">
        <v>18</v>
      </c>
      <c r="F44" s="51" t="s">
        <v>49</v>
      </c>
      <c r="G44" s="51"/>
      <c r="H44" s="80" t="s">
        <v>202</v>
      </c>
      <c r="I44" s="80" t="s">
        <v>203</v>
      </c>
      <c r="J44" s="80" t="s">
        <v>204</v>
      </c>
      <c r="K44" s="80" t="s">
        <v>205</v>
      </c>
      <c r="L44" s="80" t="s">
        <v>132</v>
      </c>
      <c r="M44" s="52">
        <v>46071</v>
      </c>
      <c r="N44" s="52"/>
      <c r="O44" s="53"/>
    </row>
    <row r="45" spans="1:15" ht="28.5" hidden="1">
      <c r="A45" s="49">
        <v>830.4</v>
      </c>
      <c r="B45" s="50">
        <v>40</v>
      </c>
      <c r="C45" s="51" t="s">
        <v>14</v>
      </c>
      <c r="D45" s="51" t="s">
        <v>9</v>
      </c>
      <c r="E45" s="51" t="s">
        <v>18</v>
      </c>
      <c r="F45" s="51"/>
      <c r="G45" s="51"/>
      <c r="H45" s="80" t="s">
        <v>206</v>
      </c>
      <c r="I45" s="80" t="s">
        <v>206</v>
      </c>
      <c r="J45" s="80" t="s">
        <v>207</v>
      </c>
      <c r="K45" s="80" t="s">
        <v>208</v>
      </c>
      <c r="L45" s="80" t="s">
        <v>165</v>
      </c>
      <c r="M45" s="52">
        <v>46043</v>
      </c>
      <c r="N45" s="52"/>
      <c r="O45" s="53" t="s">
        <v>127</v>
      </c>
    </row>
    <row r="46" spans="1:15" ht="57" hidden="1">
      <c r="A46" s="49">
        <v>850.01</v>
      </c>
      <c r="B46" s="50">
        <v>1</v>
      </c>
      <c r="C46" s="51" t="s">
        <v>19</v>
      </c>
      <c r="D46" s="51" t="s">
        <v>6</v>
      </c>
      <c r="E46" s="51" t="s">
        <v>18</v>
      </c>
      <c r="F46" s="51" t="s">
        <v>27</v>
      </c>
      <c r="G46" s="51" t="s">
        <v>67</v>
      </c>
      <c r="H46" s="80" t="s">
        <v>209</v>
      </c>
      <c r="I46" s="80" t="s">
        <v>209</v>
      </c>
      <c r="J46" s="80" t="s">
        <v>210</v>
      </c>
      <c r="K46" s="80" t="s">
        <v>211</v>
      </c>
      <c r="L46" s="80" t="s">
        <v>165</v>
      </c>
      <c r="M46" s="52">
        <v>45994</v>
      </c>
      <c r="N46" s="52">
        <v>45995</v>
      </c>
      <c r="O46" s="53"/>
    </row>
    <row r="47" spans="1:15" ht="42.75" hidden="1">
      <c r="A47" s="49">
        <v>850.04</v>
      </c>
      <c r="B47" s="50">
        <v>4</v>
      </c>
      <c r="C47" s="51" t="s">
        <v>19</v>
      </c>
      <c r="D47" s="51" t="s">
        <v>6</v>
      </c>
      <c r="E47" s="51" t="s">
        <v>18</v>
      </c>
      <c r="F47" s="51" t="s">
        <v>44</v>
      </c>
      <c r="G47" s="51" t="s">
        <v>212</v>
      </c>
      <c r="H47" s="80" t="s">
        <v>213</v>
      </c>
      <c r="I47" s="80" t="s">
        <v>213</v>
      </c>
      <c r="J47" s="80" t="s">
        <v>214</v>
      </c>
      <c r="K47" s="80" t="s">
        <v>215</v>
      </c>
      <c r="L47" s="80" t="s">
        <v>216</v>
      </c>
      <c r="M47" s="52">
        <v>45994</v>
      </c>
      <c r="N47" s="52">
        <v>46027</v>
      </c>
      <c r="O47" s="53" t="s">
        <v>217</v>
      </c>
    </row>
    <row r="48" spans="1:15" hidden="1">
      <c r="A48" s="49">
        <v>850.07</v>
      </c>
      <c r="B48" s="50">
        <v>7</v>
      </c>
      <c r="C48" s="51" t="s">
        <v>19</v>
      </c>
      <c r="D48" s="51" t="s">
        <v>6</v>
      </c>
      <c r="E48" s="51" t="s">
        <v>18</v>
      </c>
      <c r="F48" s="51" t="s">
        <v>33</v>
      </c>
      <c r="G48" s="51" t="s">
        <v>148</v>
      </c>
      <c r="H48" s="80" t="s">
        <v>218</v>
      </c>
      <c r="I48" s="80" t="s">
        <v>218</v>
      </c>
      <c r="J48" s="80" t="s">
        <v>219</v>
      </c>
      <c r="K48" s="80" t="s">
        <v>220</v>
      </c>
      <c r="L48" s="80" t="s">
        <v>173</v>
      </c>
      <c r="M48" s="52">
        <v>45994</v>
      </c>
      <c r="N48" s="52">
        <v>45994</v>
      </c>
      <c r="O48" s="53"/>
    </row>
    <row r="49" spans="1:15" ht="28.5" hidden="1">
      <c r="A49" s="49">
        <v>850.11</v>
      </c>
      <c r="B49" s="50">
        <v>11</v>
      </c>
      <c r="C49" s="51" t="s">
        <v>19</v>
      </c>
      <c r="D49" s="51" t="s">
        <v>6</v>
      </c>
      <c r="E49" s="51" t="s">
        <v>18</v>
      </c>
      <c r="F49" s="51" t="s">
        <v>44</v>
      </c>
      <c r="G49" s="51" t="s">
        <v>148</v>
      </c>
      <c r="H49" s="80" t="s">
        <v>221</v>
      </c>
      <c r="I49" s="80" t="s">
        <v>221</v>
      </c>
      <c r="J49" s="80" t="s">
        <v>222</v>
      </c>
      <c r="K49" s="80" t="s">
        <v>223</v>
      </c>
      <c r="L49" s="80" t="s">
        <v>224</v>
      </c>
      <c r="M49" s="52">
        <v>45995</v>
      </c>
      <c r="N49" s="52">
        <v>45995</v>
      </c>
      <c r="O49" s="53"/>
    </row>
    <row r="50" spans="1:15" ht="57" hidden="1">
      <c r="A50" s="49">
        <v>850.13</v>
      </c>
      <c r="B50" s="50">
        <v>13</v>
      </c>
      <c r="C50" s="51" t="s">
        <v>19</v>
      </c>
      <c r="D50" s="51" t="s">
        <v>6</v>
      </c>
      <c r="E50" s="51" t="s">
        <v>18</v>
      </c>
      <c r="F50" s="51" t="s">
        <v>33</v>
      </c>
      <c r="G50" s="51" t="s">
        <v>148</v>
      </c>
      <c r="H50" s="80" t="s">
        <v>225</v>
      </c>
      <c r="I50" s="80" t="s">
        <v>226</v>
      </c>
      <c r="J50" s="80" t="s">
        <v>227</v>
      </c>
      <c r="K50" s="80" t="s">
        <v>228</v>
      </c>
      <c r="L50" s="80" t="s">
        <v>229</v>
      </c>
      <c r="M50" s="52">
        <v>46007</v>
      </c>
      <c r="N50" s="52"/>
      <c r="O50" s="53" t="s">
        <v>230</v>
      </c>
    </row>
    <row r="51" spans="1:15" ht="28.5" hidden="1">
      <c r="A51" s="49">
        <v>850.18</v>
      </c>
      <c r="B51" s="50">
        <v>18</v>
      </c>
      <c r="C51" s="51" t="s">
        <v>19</v>
      </c>
      <c r="D51" s="51" t="s">
        <v>6</v>
      </c>
      <c r="E51" s="51" t="s">
        <v>18</v>
      </c>
      <c r="F51" s="51" t="s">
        <v>231</v>
      </c>
      <c r="G51" s="51" t="s">
        <v>148</v>
      </c>
      <c r="H51" s="80" t="s">
        <v>232</v>
      </c>
      <c r="I51" s="80" t="s">
        <v>232</v>
      </c>
      <c r="J51" s="80" t="s">
        <v>233</v>
      </c>
      <c r="K51" s="80" t="s">
        <v>234</v>
      </c>
      <c r="L51" s="80" t="s">
        <v>235</v>
      </c>
      <c r="M51" s="52">
        <v>46026</v>
      </c>
      <c r="N51" s="52"/>
      <c r="O51" s="53"/>
    </row>
    <row r="52" spans="1:15" ht="57" hidden="1">
      <c r="A52" s="49">
        <v>850.19</v>
      </c>
      <c r="B52" s="50">
        <v>19</v>
      </c>
      <c r="C52" s="51" t="s">
        <v>19</v>
      </c>
      <c r="D52" s="51" t="s">
        <v>6</v>
      </c>
      <c r="E52" s="51" t="s">
        <v>18</v>
      </c>
      <c r="F52" s="51" t="s">
        <v>44</v>
      </c>
      <c r="G52" s="51" t="s">
        <v>148</v>
      </c>
      <c r="H52" s="80" t="s">
        <v>236</v>
      </c>
      <c r="I52" s="80" t="s">
        <v>237</v>
      </c>
      <c r="J52" s="80" t="s">
        <v>238</v>
      </c>
      <c r="K52" s="80" t="s">
        <v>239</v>
      </c>
      <c r="L52" s="80" t="s">
        <v>240</v>
      </c>
      <c r="M52" s="52">
        <v>46017</v>
      </c>
      <c r="N52" s="52">
        <v>46027</v>
      </c>
      <c r="O52" s="53"/>
    </row>
    <row r="53" spans="1:15" hidden="1">
      <c r="A53" s="49">
        <v>850.2</v>
      </c>
      <c r="B53" s="50">
        <v>20</v>
      </c>
      <c r="C53" s="51" t="s">
        <v>19</v>
      </c>
      <c r="D53" s="51" t="s">
        <v>6</v>
      </c>
      <c r="E53" s="51" t="s">
        <v>18</v>
      </c>
      <c r="F53" s="51" t="s">
        <v>112</v>
      </c>
      <c r="G53" s="51" t="s">
        <v>73</v>
      </c>
      <c r="H53" s="80" t="s">
        <v>241</v>
      </c>
      <c r="I53" s="80" t="s">
        <v>241</v>
      </c>
      <c r="J53" s="80" t="s">
        <v>242</v>
      </c>
      <c r="K53" s="80" t="s">
        <v>243</v>
      </c>
      <c r="L53" s="80" t="s">
        <v>177</v>
      </c>
      <c r="M53" s="52">
        <v>46006</v>
      </c>
      <c r="N53" s="52"/>
      <c r="O53" s="53"/>
    </row>
    <row r="54" spans="1:15" ht="57" hidden="1">
      <c r="A54" s="49">
        <v>850.21</v>
      </c>
      <c r="B54" s="50">
        <v>21</v>
      </c>
      <c r="C54" s="51" t="s">
        <v>19</v>
      </c>
      <c r="D54" s="51" t="s">
        <v>6</v>
      </c>
      <c r="E54" s="51" t="s">
        <v>18</v>
      </c>
      <c r="F54" s="51" t="s">
        <v>27</v>
      </c>
      <c r="G54" s="51" t="s">
        <v>148</v>
      </c>
      <c r="H54" s="80" t="s">
        <v>244</v>
      </c>
      <c r="I54" s="80" t="s">
        <v>244</v>
      </c>
      <c r="J54" s="80" t="s">
        <v>245</v>
      </c>
      <c r="K54" s="80" t="s">
        <v>246</v>
      </c>
      <c r="L54" s="80" t="s">
        <v>165</v>
      </c>
      <c r="M54" s="52">
        <v>46008</v>
      </c>
      <c r="N54" s="52"/>
      <c r="O54" s="53"/>
    </row>
    <row r="55" spans="1:15" ht="42.75" hidden="1">
      <c r="A55" s="49">
        <v>850.22</v>
      </c>
      <c r="B55" s="50">
        <v>22</v>
      </c>
      <c r="C55" s="51" t="s">
        <v>19</v>
      </c>
      <c r="D55" s="51" t="s">
        <v>6</v>
      </c>
      <c r="E55" s="51" t="s">
        <v>18</v>
      </c>
      <c r="F55" s="51" t="s">
        <v>27</v>
      </c>
      <c r="G55" s="51" t="s">
        <v>148</v>
      </c>
      <c r="H55" s="80" t="s">
        <v>247</v>
      </c>
      <c r="I55" s="80" t="s">
        <v>247</v>
      </c>
      <c r="J55" s="80" t="s">
        <v>248</v>
      </c>
      <c r="K55" s="80" t="s">
        <v>249</v>
      </c>
      <c r="L55" s="80" t="s">
        <v>165</v>
      </c>
      <c r="M55" s="52">
        <v>46008</v>
      </c>
      <c r="N55" s="52">
        <v>46008</v>
      </c>
      <c r="O55" s="53"/>
    </row>
    <row r="56" spans="1:15" ht="57" hidden="1">
      <c r="A56" s="49">
        <v>850.23</v>
      </c>
      <c r="B56" s="50">
        <v>23</v>
      </c>
      <c r="C56" s="51" t="s">
        <v>19</v>
      </c>
      <c r="D56" s="51" t="s">
        <v>6</v>
      </c>
      <c r="E56" s="51" t="s">
        <v>18</v>
      </c>
      <c r="F56" s="51" t="s">
        <v>44</v>
      </c>
      <c r="G56" s="51" t="s">
        <v>148</v>
      </c>
      <c r="H56" s="80" t="s">
        <v>250</v>
      </c>
      <c r="I56" s="80" t="s">
        <v>251</v>
      </c>
      <c r="J56" s="80" t="s">
        <v>252</v>
      </c>
      <c r="K56" s="80" t="s">
        <v>253</v>
      </c>
      <c r="L56" s="80" t="s">
        <v>254</v>
      </c>
      <c r="M56" s="52">
        <v>46008</v>
      </c>
      <c r="N56" s="52">
        <v>46008</v>
      </c>
      <c r="O56" s="53" t="s">
        <v>255</v>
      </c>
    </row>
    <row r="57" spans="1:15" ht="57" hidden="1">
      <c r="A57" s="49">
        <v>850.24</v>
      </c>
      <c r="B57" s="50">
        <v>24</v>
      </c>
      <c r="C57" s="51" t="s">
        <v>19</v>
      </c>
      <c r="D57" s="51" t="s">
        <v>6</v>
      </c>
      <c r="E57" s="51" t="s">
        <v>18</v>
      </c>
      <c r="F57" s="51" t="s">
        <v>27</v>
      </c>
      <c r="G57" s="51" t="s">
        <v>148</v>
      </c>
      <c r="H57" s="80" t="s">
        <v>256</v>
      </c>
      <c r="I57" s="80" t="s">
        <v>256</v>
      </c>
      <c r="J57" s="80" t="s">
        <v>257</v>
      </c>
      <c r="K57" s="80" t="s">
        <v>258</v>
      </c>
      <c r="L57" s="80" t="s">
        <v>132</v>
      </c>
      <c r="M57" s="52">
        <v>46008</v>
      </c>
      <c r="N57" s="52">
        <v>46009</v>
      </c>
      <c r="O57" s="53" t="s">
        <v>259</v>
      </c>
    </row>
    <row r="58" spans="1:15" ht="85.5" hidden="1">
      <c r="A58" s="49">
        <v>850.25</v>
      </c>
      <c r="B58" s="50">
        <v>25</v>
      </c>
      <c r="C58" s="51" t="s">
        <v>19</v>
      </c>
      <c r="D58" s="51" t="s">
        <v>6</v>
      </c>
      <c r="E58" s="51" t="s">
        <v>18</v>
      </c>
      <c r="F58" s="51" t="s">
        <v>44</v>
      </c>
      <c r="G58" s="51" t="s">
        <v>148</v>
      </c>
      <c r="H58" s="80" t="s">
        <v>260</v>
      </c>
      <c r="I58" s="80" t="s">
        <v>261</v>
      </c>
      <c r="J58" s="80" t="s">
        <v>262</v>
      </c>
      <c r="K58" s="80" t="s">
        <v>263</v>
      </c>
      <c r="L58" s="80" t="s">
        <v>229</v>
      </c>
      <c r="M58" s="52">
        <v>46008</v>
      </c>
      <c r="N58" s="52"/>
      <c r="O58" s="53" t="s">
        <v>264</v>
      </c>
    </row>
    <row r="59" spans="1:15" ht="57" hidden="1">
      <c r="A59" s="49">
        <v>850.27</v>
      </c>
      <c r="B59" s="50">
        <v>27</v>
      </c>
      <c r="C59" s="51" t="s">
        <v>19</v>
      </c>
      <c r="D59" s="51" t="s">
        <v>6</v>
      </c>
      <c r="E59" s="51" t="s">
        <v>18</v>
      </c>
      <c r="F59" s="51" t="s">
        <v>85</v>
      </c>
      <c r="G59" s="51" t="s">
        <v>148</v>
      </c>
      <c r="H59" s="80" t="s">
        <v>265</v>
      </c>
      <c r="I59" s="80" t="s">
        <v>265</v>
      </c>
      <c r="J59" s="80" t="s">
        <v>266</v>
      </c>
      <c r="K59" s="80" t="s">
        <v>267</v>
      </c>
      <c r="L59" s="80" t="s">
        <v>165</v>
      </c>
      <c r="M59" s="52">
        <v>46016</v>
      </c>
      <c r="N59" s="52">
        <v>45662</v>
      </c>
      <c r="O59" s="53" t="s">
        <v>268</v>
      </c>
    </row>
    <row r="60" spans="1:15" hidden="1">
      <c r="A60" s="49">
        <v>850.29</v>
      </c>
      <c r="B60" s="50">
        <v>29</v>
      </c>
      <c r="C60" s="51" t="s">
        <v>19</v>
      </c>
      <c r="D60" s="51" t="s">
        <v>6</v>
      </c>
      <c r="E60" s="51" t="s">
        <v>18</v>
      </c>
      <c r="F60" s="51" t="s">
        <v>85</v>
      </c>
      <c r="G60" s="51" t="s">
        <v>148</v>
      </c>
      <c r="H60" s="80" t="s">
        <v>269</v>
      </c>
      <c r="I60" s="80" t="s">
        <v>269</v>
      </c>
      <c r="J60" s="80" t="s">
        <v>270</v>
      </c>
      <c r="K60" s="80" t="s">
        <v>271</v>
      </c>
      <c r="L60" s="80" t="s">
        <v>272</v>
      </c>
      <c r="M60" s="52">
        <v>46027</v>
      </c>
      <c r="N60" s="52"/>
      <c r="O60" s="53" t="s">
        <v>273</v>
      </c>
    </row>
    <row r="61" spans="1:15" ht="42.75" hidden="1">
      <c r="A61" s="49">
        <v>850.3</v>
      </c>
      <c r="B61" s="50">
        <v>30</v>
      </c>
      <c r="C61" s="51" t="s">
        <v>19</v>
      </c>
      <c r="D61" s="51" t="s">
        <v>6</v>
      </c>
      <c r="E61" s="51" t="s">
        <v>18</v>
      </c>
      <c r="F61" s="51" t="s">
        <v>85</v>
      </c>
      <c r="G61" s="51" t="s">
        <v>148</v>
      </c>
      <c r="H61" s="80" t="s">
        <v>274</v>
      </c>
      <c r="I61" s="80" t="s">
        <v>274</v>
      </c>
      <c r="J61" s="80" t="s">
        <v>275</v>
      </c>
      <c r="K61" s="80" t="s">
        <v>276</v>
      </c>
      <c r="L61" s="80" t="s">
        <v>277</v>
      </c>
      <c r="M61" s="52">
        <v>46028</v>
      </c>
      <c r="N61" s="52">
        <v>46028</v>
      </c>
      <c r="O61" s="53"/>
    </row>
    <row r="62" spans="1:15" ht="57" hidden="1">
      <c r="A62" s="49">
        <v>850.32</v>
      </c>
      <c r="B62" s="50">
        <v>32</v>
      </c>
      <c r="C62" s="51" t="s">
        <v>19</v>
      </c>
      <c r="D62" s="51" t="s">
        <v>6</v>
      </c>
      <c r="E62" s="51" t="s">
        <v>18</v>
      </c>
      <c r="F62" s="51" t="s">
        <v>44</v>
      </c>
      <c r="G62" s="51" t="s">
        <v>148</v>
      </c>
      <c r="H62" s="80" t="s">
        <v>278</v>
      </c>
      <c r="I62" s="80" t="s">
        <v>278</v>
      </c>
      <c r="J62" s="80" t="s">
        <v>279</v>
      </c>
      <c r="K62" s="80" t="s">
        <v>280</v>
      </c>
      <c r="L62" s="80" t="s">
        <v>165</v>
      </c>
      <c r="M62" s="52">
        <v>46028</v>
      </c>
      <c r="N62" s="52">
        <v>46028</v>
      </c>
      <c r="O62" s="53"/>
    </row>
    <row r="63" spans="1:15" ht="42.75" hidden="1">
      <c r="A63" s="49">
        <v>850.33</v>
      </c>
      <c r="B63" s="50">
        <v>33</v>
      </c>
      <c r="C63" s="51" t="s">
        <v>19</v>
      </c>
      <c r="D63" s="51" t="s">
        <v>6</v>
      </c>
      <c r="E63" s="51" t="s">
        <v>18</v>
      </c>
      <c r="F63" s="51" t="s">
        <v>27</v>
      </c>
      <c r="G63" s="51" t="s">
        <v>148</v>
      </c>
      <c r="H63" s="80" t="s">
        <v>281</v>
      </c>
      <c r="I63" s="80" t="s">
        <v>281</v>
      </c>
      <c r="J63" s="80" t="s">
        <v>282</v>
      </c>
      <c r="K63" s="80" t="s">
        <v>283</v>
      </c>
      <c r="L63" s="80" t="s">
        <v>165</v>
      </c>
      <c r="M63" s="52">
        <v>46029</v>
      </c>
      <c r="N63" s="52"/>
      <c r="O63" s="53"/>
    </row>
    <row r="64" spans="1:15" ht="42.75" hidden="1">
      <c r="A64" s="54">
        <v>910.35</v>
      </c>
      <c r="B64" s="55">
        <v>35</v>
      </c>
      <c r="C64" s="56" t="s">
        <v>8</v>
      </c>
      <c r="D64" s="56" t="s">
        <v>15</v>
      </c>
      <c r="E64" s="56" t="s">
        <v>20</v>
      </c>
      <c r="F64" s="56" t="s">
        <v>30</v>
      </c>
      <c r="G64" s="56"/>
      <c r="H64" s="81" t="s">
        <v>284</v>
      </c>
      <c r="I64" s="81" t="s">
        <v>284</v>
      </c>
      <c r="J64" s="81" t="s">
        <v>285</v>
      </c>
      <c r="K64" s="81" t="s">
        <v>286</v>
      </c>
      <c r="L64" s="81"/>
      <c r="M64" s="57">
        <v>46029</v>
      </c>
      <c r="N64" s="57"/>
      <c r="O64" s="58" t="s">
        <v>287</v>
      </c>
    </row>
    <row r="65" spans="1:15" ht="57" hidden="1">
      <c r="A65" s="54">
        <v>910.36</v>
      </c>
      <c r="B65" s="55">
        <v>36</v>
      </c>
      <c r="C65" s="56" t="s">
        <v>8</v>
      </c>
      <c r="D65" s="56" t="s">
        <v>15</v>
      </c>
      <c r="E65" s="56" t="s">
        <v>20</v>
      </c>
      <c r="F65" s="56" t="s">
        <v>112</v>
      </c>
      <c r="G65" s="56"/>
      <c r="H65" s="81" t="s">
        <v>288</v>
      </c>
      <c r="I65" s="81" t="s">
        <v>289</v>
      </c>
      <c r="J65" s="81" t="s">
        <v>290</v>
      </c>
      <c r="K65" s="81" t="s">
        <v>291</v>
      </c>
      <c r="L65" s="81"/>
      <c r="M65" s="57">
        <v>46029</v>
      </c>
      <c r="N65" s="57"/>
      <c r="O65" s="58"/>
    </row>
    <row r="66" spans="1:15" ht="28.5" hidden="1">
      <c r="A66" s="59">
        <v>950.34</v>
      </c>
      <c r="B66" s="60">
        <v>34</v>
      </c>
      <c r="C66" s="61" t="s">
        <v>19</v>
      </c>
      <c r="D66" s="61" t="s">
        <v>15</v>
      </c>
      <c r="E66" s="61" t="s">
        <v>20</v>
      </c>
      <c r="F66" s="61" t="s">
        <v>27</v>
      </c>
      <c r="G66" s="61" t="s">
        <v>73</v>
      </c>
      <c r="H66" s="82" t="s">
        <v>292</v>
      </c>
      <c r="I66" s="82" t="s">
        <v>292</v>
      </c>
      <c r="J66" s="82" t="s">
        <v>293</v>
      </c>
      <c r="K66" s="82" t="s">
        <v>294</v>
      </c>
      <c r="L66" s="82" t="s">
        <v>295</v>
      </c>
      <c r="M66" s="62">
        <v>46027</v>
      </c>
      <c r="N66" s="62"/>
      <c r="O66" s="63" t="s">
        <v>296</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2"/>
  <sheetViews>
    <sheetView showGridLines="0" workbookViewId="0"/>
  </sheetViews>
  <sheetFormatPr defaultRowHeight="14.25"/>
  <cols>
    <col min="1" max="1" width="10" customWidth="1"/>
    <col min="2" max="2" width="12" customWidth="1"/>
    <col min="3" max="3" width="22" customWidth="1"/>
    <col min="4" max="4" width="18" customWidth="1"/>
    <col min="5" max="5" width="14" customWidth="1"/>
    <col min="6" max="6" width="50" customWidth="1"/>
    <col min="7" max="9" width="55" customWidth="1"/>
  </cols>
  <sheetData>
    <row r="1" spans="1:9" ht="15" customHeight="1">
      <c r="A1" s="1" t="s">
        <v>22</v>
      </c>
      <c r="B1" s="2" t="s">
        <v>5</v>
      </c>
      <c r="C1" s="2" t="s">
        <v>4</v>
      </c>
      <c r="D1" s="2" t="s">
        <v>24</v>
      </c>
      <c r="E1" s="2" t="s">
        <v>52</v>
      </c>
      <c r="F1" s="2" t="s">
        <v>25</v>
      </c>
      <c r="G1" s="2" t="s">
        <v>54</v>
      </c>
      <c r="H1" s="2" t="s">
        <v>26</v>
      </c>
      <c r="I1" s="3" t="s">
        <v>55</v>
      </c>
    </row>
    <row r="2" spans="1:9" ht="15" customHeight="1">
      <c r="A2" s="14">
        <v>56</v>
      </c>
      <c r="B2" s="4" t="s">
        <v>8</v>
      </c>
      <c r="C2" s="4" t="s">
        <v>7</v>
      </c>
      <c r="D2" s="4" t="s">
        <v>27</v>
      </c>
      <c r="E2" s="4"/>
      <c r="F2" s="4" t="s">
        <v>28</v>
      </c>
      <c r="G2" s="4" t="s">
        <v>59</v>
      </c>
      <c r="H2" s="4" t="s">
        <v>29</v>
      </c>
      <c r="I2" s="5" t="s">
        <v>60</v>
      </c>
    </row>
    <row r="3" spans="1:9" ht="26.45" customHeight="1">
      <c r="A3" s="14">
        <v>58</v>
      </c>
      <c r="B3" s="4" t="s">
        <v>8</v>
      </c>
      <c r="C3" s="4" t="s">
        <v>7</v>
      </c>
      <c r="D3" s="4" t="s">
        <v>30</v>
      </c>
      <c r="E3" s="4"/>
      <c r="F3" s="4" t="s">
        <v>31</v>
      </c>
      <c r="G3" s="4" t="s">
        <v>61</v>
      </c>
      <c r="H3" s="4" t="s">
        <v>32</v>
      </c>
      <c r="I3" s="5"/>
    </row>
    <row r="4" spans="1:9" ht="15" customHeight="1">
      <c r="A4" s="14">
        <v>60</v>
      </c>
      <c r="B4" s="4" t="s">
        <v>8</v>
      </c>
      <c r="C4" s="4" t="s">
        <v>7</v>
      </c>
      <c r="D4" s="4" t="s">
        <v>33</v>
      </c>
      <c r="E4" s="4"/>
      <c r="F4" s="4" t="s">
        <v>34</v>
      </c>
      <c r="G4" s="4" t="s">
        <v>62</v>
      </c>
      <c r="H4" s="4" t="s">
        <v>35</v>
      </c>
      <c r="I4" s="5"/>
    </row>
    <row r="5" spans="1:9" ht="15" customHeight="1">
      <c r="A5" s="14">
        <v>62</v>
      </c>
      <c r="B5" s="4" t="s">
        <v>8</v>
      </c>
      <c r="C5" s="4" t="s">
        <v>7</v>
      </c>
      <c r="D5" s="4"/>
      <c r="E5" s="4"/>
      <c r="F5" s="4" t="s">
        <v>36</v>
      </c>
      <c r="G5" s="4" t="s">
        <v>64</v>
      </c>
      <c r="H5" s="4" t="s">
        <v>37</v>
      </c>
      <c r="I5" s="5"/>
    </row>
    <row r="6" spans="1:9" ht="26.45" customHeight="1">
      <c r="A6" s="14">
        <v>64</v>
      </c>
      <c r="B6" s="4" t="s">
        <v>8</v>
      </c>
      <c r="C6" s="4" t="s">
        <v>7</v>
      </c>
      <c r="D6" s="4" t="s">
        <v>30</v>
      </c>
      <c r="E6" s="4"/>
      <c r="F6" s="4" t="s">
        <v>38</v>
      </c>
      <c r="G6" s="4" t="s">
        <v>65</v>
      </c>
      <c r="H6" s="4" t="s">
        <v>39</v>
      </c>
      <c r="I6" s="5"/>
    </row>
    <row r="7" spans="1:9" ht="39.6" customHeight="1">
      <c r="A7" s="14">
        <v>38</v>
      </c>
      <c r="B7" s="4" t="s">
        <v>11</v>
      </c>
      <c r="C7" s="4" t="s">
        <v>7</v>
      </c>
      <c r="D7" s="4" t="s">
        <v>33</v>
      </c>
      <c r="E7" s="4"/>
      <c r="F7" s="4" t="s">
        <v>40</v>
      </c>
      <c r="G7" s="4" t="s">
        <v>66</v>
      </c>
      <c r="H7" s="4" t="s">
        <v>41</v>
      </c>
      <c r="I7" s="5"/>
    </row>
    <row r="8" spans="1:9" ht="15" customHeight="1">
      <c r="A8" s="14">
        <v>8</v>
      </c>
      <c r="B8" s="4" t="s">
        <v>14</v>
      </c>
      <c r="C8" s="4" t="s">
        <v>7</v>
      </c>
      <c r="D8" s="4" t="s">
        <v>33</v>
      </c>
      <c r="E8" s="4" t="s">
        <v>67</v>
      </c>
      <c r="F8" s="4" t="s">
        <v>42</v>
      </c>
      <c r="G8" s="4" t="s">
        <v>68</v>
      </c>
      <c r="H8" s="4" t="s">
        <v>43</v>
      </c>
      <c r="I8" s="5"/>
    </row>
    <row r="9" spans="1:9" ht="26.45" customHeight="1">
      <c r="A9" s="14">
        <v>9</v>
      </c>
      <c r="B9" s="4" t="s">
        <v>14</v>
      </c>
      <c r="C9" s="4" t="s">
        <v>7</v>
      </c>
      <c r="D9" s="4" t="s">
        <v>44</v>
      </c>
      <c r="E9" s="4" t="s">
        <v>67</v>
      </c>
      <c r="F9" s="4" t="s">
        <v>45</v>
      </c>
      <c r="G9" s="4" t="s">
        <v>69</v>
      </c>
      <c r="H9" s="4" t="s">
        <v>46</v>
      </c>
      <c r="I9" s="5" t="s">
        <v>70</v>
      </c>
    </row>
    <row r="10" spans="1:9" ht="15" customHeight="1">
      <c r="A10" s="14">
        <v>10</v>
      </c>
      <c r="B10" s="4" t="s">
        <v>14</v>
      </c>
      <c r="C10" s="4" t="s">
        <v>7</v>
      </c>
      <c r="D10" s="4" t="s">
        <v>44</v>
      </c>
      <c r="E10" s="4" t="s">
        <v>67</v>
      </c>
      <c r="F10" s="4" t="s">
        <v>47</v>
      </c>
      <c r="G10" s="4" t="s">
        <v>71</v>
      </c>
      <c r="H10" s="4" t="s">
        <v>48</v>
      </c>
      <c r="I10" s="5" t="s">
        <v>72</v>
      </c>
    </row>
    <row r="11" spans="1:9" ht="26.45" customHeight="1">
      <c r="A11" s="14">
        <v>15</v>
      </c>
      <c r="B11" s="4" t="s">
        <v>14</v>
      </c>
      <c r="C11" s="4" t="s">
        <v>7</v>
      </c>
      <c r="D11" s="4" t="s">
        <v>49</v>
      </c>
      <c r="E11" s="4" t="s">
        <v>73</v>
      </c>
      <c r="F11" s="4" t="s">
        <v>45</v>
      </c>
      <c r="G11" s="4" t="s">
        <v>74</v>
      </c>
      <c r="H11" s="4" t="s">
        <v>50</v>
      </c>
      <c r="I11" s="5" t="s">
        <v>70</v>
      </c>
    </row>
    <row r="12" spans="1:9" ht="26.45" customHeight="1">
      <c r="A12" s="14">
        <v>16</v>
      </c>
      <c r="B12" s="4" t="s">
        <v>14</v>
      </c>
      <c r="C12" s="4" t="s">
        <v>7</v>
      </c>
      <c r="D12" s="4" t="s">
        <v>76</v>
      </c>
      <c r="E12" s="4" t="s">
        <v>73</v>
      </c>
      <c r="F12" s="4" t="s">
        <v>45</v>
      </c>
      <c r="G12" s="4" t="s">
        <v>77</v>
      </c>
      <c r="H12" s="4" t="s">
        <v>78</v>
      </c>
      <c r="I12" s="5" t="s">
        <v>70</v>
      </c>
    </row>
    <row r="13" spans="1:9" ht="26.45" customHeight="1">
      <c r="A13" s="14">
        <v>17</v>
      </c>
      <c r="B13" s="4" t="s">
        <v>14</v>
      </c>
      <c r="C13" s="4" t="s">
        <v>7</v>
      </c>
      <c r="D13" s="4" t="s">
        <v>79</v>
      </c>
      <c r="E13" s="4" t="s">
        <v>73</v>
      </c>
      <c r="F13" s="4" t="s">
        <v>45</v>
      </c>
      <c r="G13" s="4" t="s">
        <v>80</v>
      </c>
      <c r="H13" s="4" t="s">
        <v>78</v>
      </c>
      <c r="I13" s="5" t="s">
        <v>70</v>
      </c>
    </row>
    <row r="14" spans="1:9" ht="15" customHeight="1">
      <c r="A14" s="14">
        <v>39</v>
      </c>
      <c r="B14" s="4" t="s">
        <v>14</v>
      </c>
      <c r="C14" s="4" t="s">
        <v>7</v>
      </c>
      <c r="D14" s="4"/>
      <c r="E14" s="4"/>
      <c r="F14" s="4" t="s">
        <v>81</v>
      </c>
      <c r="G14" s="4" t="s">
        <v>82</v>
      </c>
      <c r="H14" s="4" t="s">
        <v>83</v>
      </c>
      <c r="I14" s="5"/>
    </row>
    <row r="15" spans="1:9" ht="39.6" customHeight="1">
      <c r="A15" s="14">
        <v>43</v>
      </c>
      <c r="B15" s="4" t="s">
        <v>14</v>
      </c>
      <c r="C15" s="4" t="s">
        <v>7</v>
      </c>
      <c r="D15" s="4" t="s">
        <v>85</v>
      </c>
      <c r="E15" s="4"/>
      <c r="F15" s="4" t="s">
        <v>86</v>
      </c>
      <c r="G15" s="4" t="s">
        <v>88</v>
      </c>
      <c r="H15" s="4" t="s">
        <v>89</v>
      </c>
      <c r="I15" s="5" t="s">
        <v>90</v>
      </c>
    </row>
    <row r="16" spans="1:9" ht="39.6" customHeight="1">
      <c r="A16" s="14">
        <v>50</v>
      </c>
      <c r="B16" s="4" t="s">
        <v>14</v>
      </c>
      <c r="C16" s="4" t="s">
        <v>7</v>
      </c>
      <c r="D16" s="4" t="s">
        <v>44</v>
      </c>
      <c r="E16" s="4"/>
      <c r="F16" s="4" t="s">
        <v>91</v>
      </c>
      <c r="G16" s="4" t="s">
        <v>92</v>
      </c>
      <c r="H16" s="4" t="s">
        <v>93</v>
      </c>
      <c r="I16" s="5" t="s">
        <v>94</v>
      </c>
    </row>
    <row r="17" spans="1:9" ht="26.45" customHeight="1">
      <c r="A17" s="14">
        <v>51</v>
      </c>
      <c r="B17" s="4" t="s">
        <v>14</v>
      </c>
      <c r="C17" s="4" t="s">
        <v>7</v>
      </c>
      <c r="D17" s="4" t="s">
        <v>85</v>
      </c>
      <c r="E17" s="4"/>
      <c r="F17" s="4" t="s">
        <v>95</v>
      </c>
      <c r="G17" s="4" t="s">
        <v>96</v>
      </c>
      <c r="H17" s="4" t="s">
        <v>97</v>
      </c>
      <c r="I17" s="5" t="s">
        <v>90</v>
      </c>
    </row>
    <row r="18" spans="1:9" ht="15" customHeight="1">
      <c r="A18" s="14">
        <v>57</v>
      </c>
      <c r="B18" s="4" t="s">
        <v>14</v>
      </c>
      <c r="C18" s="4" t="s">
        <v>7</v>
      </c>
      <c r="D18" s="4" t="s">
        <v>44</v>
      </c>
      <c r="E18" s="4"/>
      <c r="F18" s="4" t="s">
        <v>98</v>
      </c>
      <c r="G18" s="4" t="s">
        <v>99</v>
      </c>
      <c r="H18" s="4" t="s">
        <v>100</v>
      </c>
      <c r="I18" s="5" t="s">
        <v>94</v>
      </c>
    </row>
    <row r="19" spans="1:9" ht="39.6" customHeight="1">
      <c r="A19" s="14">
        <v>61</v>
      </c>
      <c r="B19" s="4" t="s">
        <v>14</v>
      </c>
      <c r="C19" s="4" t="s">
        <v>7</v>
      </c>
      <c r="D19" s="4" t="s">
        <v>33</v>
      </c>
      <c r="E19" s="4"/>
      <c r="F19" s="4" t="s">
        <v>101</v>
      </c>
      <c r="G19" s="4" t="s">
        <v>102</v>
      </c>
      <c r="H19" s="4" t="s">
        <v>103</v>
      </c>
      <c r="I19" s="5" t="s">
        <v>104</v>
      </c>
    </row>
    <row r="20" spans="1:9" ht="15" customHeight="1">
      <c r="A20" s="14">
        <v>2</v>
      </c>
      <c r="B20" s="4" t="s">
        <v>17</v>
      </c>
      <c r="C20" s="4" t="s">
        <v>7</v>
      </c>
      <c r="D20" s="4" t="s">
        <v>30</v>
      </c>
      <c r="E20" s="4" t="s">
        <v>67</v>
      </c>
      <c r="F20" s="4" t="s">
        <v>105</v>
      </c>
      <c r="G20" s="4" t="s">
        <v>106</v>
      </c>
      <c r="H20" s="4" t="s">
        <v>107</v>
      </c>
      <c r="I20" s="5"/>
    </row>
    <row r="21" spans="1:9" ht="26.45" customHeight="1">
      <c r="A21" s="14">
        <v>3</v>
      </c>
      <c r="B21" s="4" t="s">
        <v>17</v>
      </c>
      <c r="C21" s="4" t="s">
        <v>7</v>
      </c>
      <c r="D21" s="4" t="s">
        <v>33</v>
      </c>
      <c r="E21" s="4" t="s">
        <v>67</v>
      </c>
      <c r="F21" s="4" t="s">
        <v>108</v>
      </c>
      <c r="G21" s="4" t="s">
        <v>109</v>
      </c>
      <c r="H21" s="4" t="s">
        <v>110</v>
      </c>
      <c r="I21" s="5"/>
    </row>
    <row r="22" spans="1:9" ht="15" customHeight="1">
      <c r="A22" s="14">
        <v>5</v>
      </c>
      <c r="B22" s="4" t="s">
        <v>17</v>
      </c>
      <c r="C22" s="4" t="s">
        <v>7</v>
      </c>
      <c r="D22" s="4" t="s">
        <v>112</v>
      </c>
      <c r="E22" s="4" t="s">
        <v>67</v>
      </c>
      <c r="F22" s="4" t="s">
        <v>113</v>
      </c>
      <c r="G22" s="4" t="s">
        <v>114</v>
      </c>
      <c r="H22" s="4" t="s">
        <v>115</v>
      </c>
      <c r="I22" s="5"/>
    </row>
    <row r="23" spans="1:9" ht="26.45" customHeight="1">
      <c r="A23" s="14">
        <v>6</v>
      </c>
      <c r="B23" s="4" t="s">
        <v>17</v>
      </c>
      <c r="C23" s="4" t="s">
        <v>7</v>
      </c>
      <c r="D23" s="4" t="s">
        <v>112</v>
      </c>
      <c r="E23" s="4" t="s">
        <v>67</v>
      </c>
      <c r="F23" s="4" t="s">
        <v>116</v>
      </c>
      <c r="G23" s="4" t="s">
        <v>117</v>
      </c>
      <c r="H23" s="4" t="s">
        <v>118</v>
      </c>
      <c r="I23" s="5"/>
    </row>
    <row r="24" spans="1:9" ht="39.6" customHeight="1">
      <c r="A24" s="14">
        <v>14</v>
      </c>
      <c r="B24" s="4" t="s">
        <v>17</v>
      </c>
      <c r="C24" s="4" t="s">
        <v>7</v>
      </c>
      <c r="D24" s="4" t="s">
        <v>27</v>
      </c>
      <c r="E24" s="4" t="s">
        <v>73</v>
      </c>
      <c r="F24" s="4" t="s">
        <v>119</v>
      </c>
      <c r="G24" s="4" t="s">
        <v>121</v>
      </c>
      <c r="H24" s="4" t="s">
        <v>122</v>
      </c>
      <c r="I24" s="5"/>
    </row>
    <row r="25" spans="1:9" ht="26.45" customHeight="1">
      <c r="A25" s="15">
        <v>44</v>
      </c>
      <c r="B25" s="6" t="s">
        <v>11</v>
      </c>
      <c r="C25" s="6" t="s">
        <v>10</v>
      </c>
      <c r="D25" s="6" t="s">
        <v>27</v>
      </c>
      <c r="E25" s="6"/>
      <c r="F25" s="6" t="s">
        <v>123</v>
      </c>
      <c r="G25" s="6" t="s">
        <v>124</v>
      </c>
      <c r="H25" s="6" t="s">
        <v>125</v>
      </c>
      <c r="I25" s="7" t="s">
        <v>126</v>
      </c>
    </row>
    <row r="26" spans="1:9" ht="39.6" customHeight="1">
      <c r="A26" s="15">
        <v>41</v>
      </c>
      <c r="B26" s="6" t="s">
        <v>14</v>
      </c>
      <c r="C26" s="6" t="s">
        <v>10</v>
      </c>
      <c r="D26" s="6"/>
      <c r="E26" s="6"/>
      <c r="F26" s="6" t="s">
        <v>128</v>
      </c>
      <c r="G26" s="6" t="s">
        <v>130</v>
      </c>
      <c r="H26" s="6" t="s">
        <v>131</v>
      </c>
      <c r="I26" s="7" t="s">
        <v>132</v>
      </c>
    </row>
    <row r="27" spans="1:9" ht="26.45" customHeight="1">
      <c r="A27" s="15">
        <v>49</v>
      </c>
      <c r="B27" s="6" t="s">
        <v>14</v>
      </c>
      <c r="C27" s="6" t="s">
        <v>10</v>
      </c>
      <c r="D27" s="6"/>
      <c r="E27" s="6"/>
      <c r="F27" s="6" t="s">
        <v>133</v>
      </c>
      <c r="G27" s="6" t="s">
        <v>134</v>
      </c>
      <c r="H27" s="6" t="s">
        <v>135</v>
      </c>
      <c r="I27" s="7" t="s">
        <v>136</v>
      </c>
    </row>
    <row r="28" spans="1:9" ht="39.6" customHeight="1">
      <c r="A28" s="15">
        <v>52</v>
      </c>
      <c r="B28" s="6" t="s">
        <v>14</v>
      </c>
      <c r="C28" s="6" t="s">
        <v>10</v>
      </c>
      <c r="D28" s="6" t="s">
        <v>30</v>
      </c>
      <c r="E28" s="6"/>
      <c r="F28" s="6" t="s">
        <v>137</v>
      </c>
      <c r="G28" s="6" t="s">
        <v>138</v>
      </c>
      <c r="H28" s="6" t="s">
        <v>139</v>
      </c>
      <c r="I28" s="7" t="s">
        <v>140</v>
      </c>
    </row>
    <row r="29" spans="1:9" ht="26.45" customHeight="1">
      <c r="A29" s="15">
        <v>59</v>
      </c>
      <c r="B29" s="6" t="s">
        <v>14</v>
      </c>
      <c r="C29" s="6" t="s">
        <v>10</v>
      </c>
      <c r="D29" s="6" t="s">
        <v>112</v>
      </c>
      <c r="E29" s="6"/>
      <c r="F29" s="6" t="s">
        <v>141</v>
      </c>
      <c r="G29" s="6" t="s">
        <v>142</v>
      </c>
      <c r="H29" s="6" t="s">
        <v>143</v>
      </c>
      <c r="I29" s="7" t="s">
        <v>144</v>
      </c>
    </row>
    <row r="30" spans="1:9" ht="26.45" customHeight="1">
      <c r="A30" s="15">
        <v>26</v>
      </c>
      <c r="B30" s="6" t="s">
        <v>19</v>
      </c>
      <c r="C30" s="6" t="s">
        <v>10</v>
      </c>
      <c r="D30" s="6" t="s">
        <v>44</v>
      </c>
      <c r="E30" s="6" t="s">
        <v>73</v>
      </c>
      <c r="F30" s="6" t="s">
        <v>145</v>
      </c>
      <c r="G30" s="6" t="s">
        <v>146</v>
      </c>
      <c r="H30" s="6" t="s">
        <v>147</v>
      </c>
      <c r="I30" s="7" t="s">
        <v>94</v>
      </c>
    </row>
    <row r="31" spans="1:9" ht="26.45" customHeight="1">
      <c r="A31" s="16">
        <v>28</v>
      </c>
      <c r="B31" s="8" t="s">
        <v>19</v>
      </c>
      <c r="C31" s="8" t="s">
        <v>13</v>
      </c>
      <c r="D31" s="8" t="s">
        <v>85</v>
      </c>
      <c r="E31" s="8" t="s">
        <v>148</v>
      </c>
      <c r="F31" s="8" t="s">
        <v>149</v>
      </c>
      <c r="G31" s="8" t="s">
        <v>150</v>
      </c>
      <c r="H31" s="8" t="s">
        <v>151</v>
      </c>
      <c r="I31" s="9" t="s">
        <v>152</v>
      </c>
    </row>
    <row r="32" spans="1:9" ht="26.45" customHeight="1">
      <c r="A32" s="17">
        <v>65</v>
      </c>
      <c r="B32" s="18" t="s">
        <v>8</v>
      </c>
      <c r="C32" s="18" t="s">
        <v>16</v>
      </c>
      <c r="D32" s="18"/>
      <c r="E32" s="18"/>
      <c r="F32" s="18" t="s">
        <v>154</v>
      </c>
      <c r="G32" s="18" t="s">
        <v>155</v>
      </c>
      <c r="H32" s="18" t="s">
        <v>156</v>
      </c>
      <c r="I32" s="19" t="s">
        <v>157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8"/>
  <sheetViews>
    <sheetView showGridLines="0" workbookViewId="0"/>
  </sheetViews>
  <sheetFormatPr defaultRowHeight="14.25"/>
  <cols>
    <col min="1" max="1" width="24" customWidth="1"/>
    <col min="2" max="2" width="110" customWidth="1"/>
  </cols>
  <sheetData>
    <row r="1" spans="1:2" ht="15">
      <c r="A1" s="20" t="s">
        <v>297</v>
      </c>
      <c r="B1" s="20" t="s">
        <v>298</v>
      </c>
    </row>
    <row r="2" spans="1:2">
      <c r="A2" s="10" t="s">
        <v>299</v>
      </c>
      <c r="B2" s="10" t="s">
        <v>300</v>
      </c>
    </row>
    <row r="3" spans="1:2">
      <c r="A3" s="10" t="s">
        <v>301</v>
      </c>
      <c r="B3" s="10" t="s">
        <v>148</v>
      </c>
    </row>
    <row r="4" spans="1:2">
      <c r="A4" s="10" t="s">
        <v>302</v>
      </c>
      <c r="B4" s="10" t="s">
        <v>303</v>
      </c>
    </row>
    <row r="5" spans="1:2">
      <c r="A5" s="10" t="s">
        <v>304</v>
      </c>
      <c r="B5" s="10" t="s">
        <v>305</v>
      </c>
    </row>
    <row r="6" spans="1:2">
      <c r="A6" s="10" t="s">
        <v>306</v>
      </c>
      <c r="B6" s="10" t="s">
        <v>307</v>
      </c>
    </row>
    <row r="7" spans="1:2">
      <c r="A7" s="10" t="s">
        <v>308</v>
      </c>
      <c r="B7" s="10">
        <v>65</v>
      </c>
    </row>
    <row r="8" spans="1:2">
      <c r="A8" s="10" t="s">
        <v>309</v>
      </c>
      <c r="B8" s="10">
        <v>31</v>
      </c>
    </row>
    <row r="9" spans="1:2">
      <c r="A9" s="10" t="s">
        <v>310</v>
      </c>
      <c r="B9" s="10" t="s">
        <v>311</v>
      </c>
    </row>
    <row r="12" spans="1:2" ht="15">
      <c r="A12" s="21" t="s">
        <v>312</v>
      </c>
      <c r="B12" s="21" t="s">
        <v>313</v>
      </c>
    </row>
    <row r="13" spans="1:2">
      <c r="A13" s="22" t="s">
        <v>7</v>
      </c>
      <c r="B13" s="22" t="s">
        <v>314</v>
      </c>
    </row>
    <row r="14" spans="1:2">
      <c r="A14" s="23" t="s">
        <v>10</v>
      </c>
      <c r="B14" s="23" t="s">
        <v>315</v>
      </c>
    </row>
    <row r="15" spans="1:2">
      <c r="A15" s="24" t="s">
        <v>13</v>
      </c>
      <c r="B15" s="24" t="s">
        <v>316</v>
      </c>
    </row>
    <row r="16" spans="1:2">
      <c r="A16" s="24" t="s">
        <v>16</v>
      </c>
      <c r="B16" s="24" t="s">
        <v>317</v>
      </c>
    </row>
    <row r="17" spans="1:2">
      <c r="A17" s="25" t="s">
        <v>18</v>
      </c>
      <c r="B17" s="25" t="s">
        <v>318</v>
      </c>
    </row>
    <row r="18" spans="1:2">
      <c r="A18" s="26" t="s">
        <v>20</v>
      </c>
      <c r="B18" s="26" t="s">
        <v>319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Issue Detail</vt:lpstr>
      <vt:lpstr>Next Actions</vt:lpstr>
      <vt:lpstr>Source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Methee Treewichian</cp:lastModifiedBy>
  <dcterms:modified xsi:type="dcterms:W3CDTF">2026-06-24T10:56:48Z</dcterms:modified>
</cp:coreProperties>
</file>