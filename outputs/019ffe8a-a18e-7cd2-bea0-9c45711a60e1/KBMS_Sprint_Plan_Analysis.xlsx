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81db1ffb384a12" /></Relationships>
</file>

<file path=xl/workbook.xml><?xml version="1.0" encoding="utf-8"?>
<x:workbook xmlns:x="http://schemas.openxmlformats.org/spreadsheetml/2006/main">
  <x:sheets>
    <x:sheet xmlns:r="http://schemas.openxmlformats.org/officeDocument/2006/relationships" name="Sprint Summary" sheetId="1" r:id="R1c120240f8074f25"/>
    <x:sheet xmlns:r="http://schemas.openxmlformats.org/officeDocument/2006/relationships" name="Sprint Plan" sheetId="2" r:id="Re965212464c44986"/>
    <x:sheet xmlns:r="http://schemas.openxmlformats.org/officeDocument/2006/relationships" name="TBC &amp; Decisions" sheetId="3" r:id="R61438b4700a440cc"/>
    <x:sheet xmlns:r="http://schemas.openxmlformats.org/officeDocument/2006/relationships" name="All Analysis" sheetId="4" r:id="R9ff3e3a341004cce"/>
    <x:sheet xmlns:r="http://schemas.openxmlformats.org/officeDocument/2006/relationships" name="Planning Rules" sheetId="5" r:id="Rb3b7d573fcd448b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mmm-yy"/>
    <x:numFmt numFmtId="201" formatCode="0"/>
    <x:numFmt numFmtId="202" formatCode="0%"/>
  </x:numFmts>
  <x:fonts count="12">
    <x:font>
      <x:sz val="11"/>
      <x:name val="Carlito"/>
    </x:font>
    <x:font>
      <x:b/>
      <x:sz val="18"/>
      <x:color rgb="FFFFFFFF"/>
      <x:name val="Carlito"/>
    </x:font>
    <x:font>
      <x:b/>
      <x:sz val="11"/>
      <x:color rgb="FF1F1F1F"/>
      <x:name val="Carlito"/>
    </x:font>
    <x:font>
      <x:i/>
      <x:sz val="11"/>
      <x:color rgb="FF7F6000"/>
      <x:name val="Carlito"/>
    </x:font>
    <x:font>
      <x:b/>
      <x:sz val="11"/>
      <x:color rgb="FFFFFFFF"/>
      <x:name val="Carlito"/>
    </x:font>
    <x:font>
      <x:b/>
      <x:sz val="11"/>
      <x:color rgb="FF17365D"/>
      <x:name val="Carlito"/>
    </x:font>
    <x:font>
      <x:b/>
      <x:sz val="10"/>
      <x:color rgb="FFFFFFFF"/>
      <x:name val="Tahoma"/>
    </x:font>
    <x:font>
      <x:b/>
      <x:sz val="9"/>
      <x:color rgb="FF1F1F1F"/>
      <x:name val="Tahoma"/>
    </x:font>
    <x:font>
      <x:b/>
      <x:sz val="9"/>
      <x:color rgb="FFFFFFFF"/>
      <x:name val="Tahoma"/>
    </x:font>
    <x:font>
      <x:i/>
      <x:sz val="11"/>
      <x:color rgb="FF17365D"/>
      <x:name val="Carlito"/>
    </x:font>
    <x:font>
      <x:b/>
      <x:sz val="16"/>
      <x:color rgb="FF17365D"/>
      <x:name val="Carlito"/>
    </x:font>
    <x:font>
      <x:sz val="11"/>
      <x:color rgb="FF7F6000"/>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F2F2F2"/>
      </x:patternFill>
    </x:fill>
  </x:fills>
  <x:borders count="16">
    <x:border/>
    <x:border>
      <x:right style="thin">
        <x:color rgb="FFA6A6A6"/>
      </x:right>
    </x:border>
    <x:border>
      <x:left style="thin">
        <x:color rgb="FFA6A6A6"/>
      </x:left>
      <x:right style="thin">
        <x:color rgb="FFA6A6A6"/>
      </x:right>
    </x:border>
    <x:border>
      <x:left style="thin">
        <x:color rgb="FFA6A6A6"/>
      </x:left>
    </x:border>
    <x:border>
      <x:right style="thin">
        <x:color rgb="FFD9E1F2"/>
      </x:right>
      <x:bottom style="thin">
        <x:color rgb="FFD9E1F2"/>
      </x:bottom>
    </x:border>
    <x:border>
      <x:left style="thin">
        <x:color rgb="FFD9E1F2"/>
      </x:left>
      <x:right style="thin">
        <x:color rgb="FFD9E1F2"/>
      </x:right>
      <x:bottom style="thin">
        <x:color rgb="FFD9E1F2"/>
      </x:bottom>
    </x:border>
    <x:border>
      <x:left style="thin">
        <x:color rgb="FFD9E1F2"/>
      </x:left>
      <x:bottom style="thin">
        <x:color rgb="FFD9E1F2"/>
      </x:bottom>
    </x:border>
    <x:border>
      <x:right style="thin">
        <x:color rgb="FFD9E1F2"/>
      </x:right>
      <x:top style="thin">
        <x:color rgb="FFD9E1F2"/>
      </x:top>
      <x:bottom style="thin">
        <x:color rgb="FFD9E1F2"/>
      </x:bottom>
    </x:border>
    <x:border>
      <x:left style="thin">
        <x:color rgb="FFD9E1F2"/>
      </x:left>
      <x:right style="thin">
        <x:color rgb="FFD9E1F2"/>
      </x:right>
      <x:top style="thin">
        <x:color rgb="FFD9E1F2"/>
      </x:top>
      <x:bottom style="thin">
        <x:color rgb="FFD9E1F2"/>
      </x:bottom>
    </x:border>
    <x:border>
      <x:left style="thin">
        <x:color rgb="FFD9E1F2"/>
      </x:left>
      <x:top style="thin">
        <x:color rgb="FFD9E1F2"/>
      </x:top>
      <x:bottom style="thin">
        <x:color rgb="FFD9E1F2"/>
      </x:bottom>
    </x:border>
    <x:border>
      <x:right style="thin">
        <x:color rgb="FFD9E1F2"/>
      </x:right>
      <x:top style="thin">
        <x:color rgb="FFD9E1F2"/>
      </x:top>
    </x:border>
    <x:border>
      <x:left style="thin">
        <x:color rgb="FFD9E1F2"/>
      </x:left>
      <x:right style="thin">
        <x:color rgb="FFD9E1F2"/>
      </x:right>
      <x:top style="thin">
        <x:color rgb="FFD9E1F2"/>
      </x:top>
    </x:border>
    <x:border>
      <x:left style="thin">
        <x:color rgb="FFD9E1F2"/>
      </x:left>
      <x:top style="thin">
        <x:color rgb="FFD9E1F2"/>
      </x:top>
    </x:border>
    <x:border>
      <x:left style="thin">
        <x:color rgb="FFD9E1F2"/>
      </x:left>
      <x:right style="thin">
        <x:color rgb="FFA6A6A6"/>
      </x:right>
      <x:bottom style="thin">
        <x:color rgb="FFD9E1F2"/>
      </x:bottom>
    </x:border>
    <x:border>
      <x:left style="thin">
        <x:color rgb="FFD9E1F2"/>
      </x:left>
      <x:right style="thin">
        <x:color rgb="FFA6A6A6"/>
      </x:right>
      <x:top style="thin">
        <x:color rgb="FFD9E1F2"/>
      </x:top>
      <x:bottom style="thin">
        <x:color rgb="FFD9E1F2"/>
      </x:bottom>
    </x:border>
    <x:border>
      <x:left style="thin">
        <x:color rgb="FFD9E1F2"/>
      </x:left>
      <x:right style="thin">
        <x:color rgb="FFA6A6A6"/>
      </x:right>
      <x:top style="thin">
        <x:color rgb="FFD9E1F2"/>
      </x:top>
    </x:border>
  </x:borders>
  <x:cellStyleXfs count="1">
    <x:xf numFmtId="0" fontId="0" fillId="0" borderId="0"/>
  </x:cellStyleXfs>
  <x:cellXfs count="7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5" fillId="0" borderId="0" xfId="0" applyNumberFormat="1" applyFont="1" applyFill="1" applyBorder="1"/>
    <x:xf numFmtId="0" fontId="6" fillId="2" borderId="0" xfId="0" applyNumberFormat="1" applyFont="1" applyFill="1" applyBorder="1" applyAlignment="1">
      <x:alignment vertical="center"/>
    </x:xf>
    <x:xf numFmtId="0" fontId="6"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5" fillId="0" borderId="0" xfId="0" applyNumberFormat="1" applyFont="1" applyFill="1" applyBorder="1" applyAlignment="1">
      <x:alignment wrapText="1"/>
    </x:xf>
    <x:xf numFmtId="0" fontId="7" fillId="3" borderId="1" xfId="0" applyNumberFormat="1" applyFont="1" applyFill="1" applyBorder="1" applyAlignment="1">
      <x:alignment vertical="center" wrapText="1"/>
    </x:xf>
    <x:xf numFmtId="0" fontId="7" fillId="3" borderId="2" xfId="0" applyNumberFormat="1" applyFont="1" applyFill="1" applyBorder="1" applyAlignment="1">
      <x:alignment vertical="center" wrapText="1"/>
    </x:xf>
    <x:xf numFmtId="0" fontId="7" fillId="3" borderId="3" xfId="0" applyNumberFormat="1" applyFont="1" applyFill="1" applyBorder="1" applyAlignment="1">
      <x:alignment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8" fillId="2" borderId="0" xfId="0" applyNumberFormat="1" applyFont="1" applyFill="1" applyBorder="1" applyAlignment="1">
      <x:alignment vertical="center"/>
    </x:xf>
    <x:xf numFmtId="201" fontId="0" fillId="0" borderId="0" xfId="0" applyNumberFormat="1" applyFont="1" applyFill="1" applyBorder="1" applyAlignment="1">
      <x:alignment vertical="top" wrapText="1"/>
    </x:xf>
    <x:xf numFmtId="0" fontId="9" fillId="3" borderId="0" xfId="0" applyNumberFormat="1" applyFont="1" applyFill="1" applyBorder="1"/>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horizontal="center"/>
    </x:xf>
    <x:xf numFmtId="0" fontId="11" fillId="4" borderId="0" xfId="0" applyNumberFormat="1" applyFont="1" applyFill="1" applyBorder="1"/>
    <x:xf numFmtId="0" fontId="11" fillId="4" borderId="0" xfId="0" applyNumberFormat="1" applyFont="1" applyFill="1" applyBorder="1" applyAlignment="1">
      <x:alignment wrapText="1"/>
    </x:xf>
    <x:xf numFmtId="202" fontId="0" fillId="0" borderId="0" xfId="0" applyNumberFormat="1" applyFont="1" applyFill="1" applyBorder="1"/>
    <x:xf numFmtId="202" fontId="0" fillId="0" borderId="0" xfId="0" applyNumberFormat="1" applyFont="1" applyFill="1" applyBorder="1" applyAlignment="1">
      <x:alignment wrapText="1"/>
    </x:xf>
    <x:xf numFmtId="0" fontId="2" fillId="3" borderId="1"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11" fillId="4" borderId="0" xfId="0" applyNumberFormat="1" applyFont="1" applyFill="1" applyBorder="1" applyAlignment="1">
      <x:alignment vertical="top" wrapText="1"/>
    </x:xf>
    <x:xf numFmtId="0" fontId="8" fillId="2" borderId="4" xfId="0" applyNumberFormat="1" applyFont="1" applyFill="1" applyBorder="1" applyAlignment="1">
      <x:alignment vertical="center"/>
    </x:xf>
    <x:xf numFmtId="0" fontId="8" fillId="2" borderId="5" xfId="0" applyNumberFormat="1" applyFont="1" applyFill="1" applyBorder="1" applyAlignment="1">
      <x:alignment vertical="center"/>
    </x:xf>
    <x:xf numFmtId="0" fontId="8" fillId="2" borderId="6" xfId="0" applyNumberFormat="1" applyFont="1" applyFill="1" applyBorder="1" applyAlignment="1">
      <x:alignment vertical="center"/>
    </x:xf>
    <x:xf numFmtId="0" fontId="3" fillId="4" borderId="7" xfId="0" applyNumberFormat="1" applyFont="1" applyFill="1" applyBorder="1"/>
    <x:xf numFmtId="0" fontId="3" fillId="4" borderId="8" xfId="0" applyNumberFormat="1" applyFont="1" applyFill="1" applyBorder="1"/>
    <x:xf numFmtId="0" fontId="3" fillId="4" borderId="9"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2" fillId="3" borderId="7" xfId="0" applyNumberFormat="1" applyFont="1" applyFill="1" applyBorder="1" applyAlignment="1">
      <x:alignment vertical="center" wrapText="1"/>
    </x:xf>
    <x:xf numFmtId="0" fontId="2" fillId="3" borderId="8" xfId="0" applyNumberFormat="1" applyFont="1" applyFill="1" applyBorder="1" applyAlignment="1">
      <x:alignment vertical="center" wrapText="1"/>
    </x:xf>
    <x:xf numFmtId="0" fontId="2" fillId="3" borderId="9" xfId="0" applyNumberFormat="1" applyFont="1" applyFill="1" applyBorder="1" applyAlignment="1">
      <x:alignment vertical="center" wrapText="1"/>
    </x:xf>
    <x:xf numFmtId="0" fontId="0" fillId="0" borderId="7" xfId="0" applyNumberFormat="1" applyFont="1" applyFill="1" applyBorder="1" applyAlignment="1">
      <x:alignment vertical="top"/>
    </x:xf>
    <x:xf numFmtId="0" fontId="0" fillId="0" borderId="8" xfId="0" applyNumberFormat="1" applyFont="1" applyFill="1" applyBorder="1" applyAlignment="1">
      <x:alignment vertical="top"/>
    </x:xf>
    <x:xf numFmtId="0" fontId="0" fillId="0" borderId="8" xfId="0" applyNumberFormat="1" applyFont="1" applyFill="1" applyBorder="1" applyAlignment="1">
      <x:alignment vertical="top" wrapText="1"/>
    </x:xf>
    <x:xf numFmtId="201" fontId="0" fillId="0" borderId="8" xfId="0" applyNumberFormat="1" applyFont="1" applyFill="1" applyBorder="1" applyAlignment="1">
      <x:alignment vertical="top" wrapText="1"/>
    </x:xf>
    <x:xf numFmtId="20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x:xf>
    <x:xf numFmtId="0" fontId="0" fillId="0" borderId="11" xfId="0" applyNumberFormat="1" applyFont="1" applyFill="1" applyBorder="1" applyAlignment="1">
      <x:alignment vertical="top"/>
    </x:xf>
    <x:xf numFmtId="0" fontId="0" fillId="0" borderId="11" xfId="0" applyNumberFormat="1" applyFont="1" applyFill="1" applyBorder="1" applyAlignment="1">
      <x:alignment vertical="top" wrapText="1"/>
    </x:xf>
    <x:xf numFmtId="201" fontId="0" fillId="0" borderId="11"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7" fillId="3" borderId="4" xfId="0" applyNumberFormat="1" applyFont="1" applyFill="1" applyBorder="1" applyAlignment="1">
      <x:alignment vertical="center" wrapText="1"/>
    </x:xf>
    <x:xf numFmtId="0" fontId="7" fillId="3" borderId="5" xfId="0" applyNumberFormat="1" applyFont="1" applyFill="1" applyBorder="1" applyAlignment="1">
      <x:alignment vertical="center" wrapText="1"/>
    </x:xf>
    <x:xf numFmtId="0" fontId="7" fillId="3" borderId="13" xfId="0" applyNumberFormat="1" applyFont="1" applyFill="1" applyBorder="1" applyAlignment="1">
      <x:alignment vertical="center"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cellXfs>
  <x:cellStyles count="1">
    <x:cellStyle name="Normal" xfId="0"/>
  </x:cellStyles>
  <x:dxfs count="4">
    <x:dxf>
      <x:font>
        <x:b/>
        <x:color rgb="FF9C0006"/>
      </x:font>
      <x:fill>
        <x:patternFill patternType="solid">
          <x:bgColor rgb="FFF4CCCC"/>
        </x:patternFill>
      </x:fill>
    </x:dxf>
    <x:dxf>
      <x:font>
        <x:b/>
        <x:color rgb="FF9C5700"/>
      </x:font>
      <x:fill>
        <x:patternFill patternType="solid">
          <x:bgColor rgb="FFFCE4D6"/>
        </x:patternFill>
      </x:fill>
    </x:dxf>
    <x:dxf>
      <x:font>
        <x:color rgb="FF7F6000"/>
      </x:font>
      <x:fill>
        <x:patternFill patternType="solid">
          <x:bgColor rgb="FFFFF2CC"/>
        </x:patternFill>
      </x:fill>
    </x:dxf>
    <x:dxf>
      <x:font>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29d933c455f46ed" /><Relationship Type="http://schemas.openxmlformats.org/officeDocument/2006/relationships/theme" Target="/xl/theme/theme1.xml" Id="R6d59660a0349401f" /><Relationship Type="http://schemas.openxmlformats.org/officeDocument/2006/relationships/sharedStrings" Target="/xl/sharedStrings.xml" Id="R65202d051fa949cd" /><Relationship Type="http://schemas.openxmlformats.org/officeDocument/2006/relationships/worksheet" Target="/xl/worksheets/sheet1.xml" Id="R1c120240f8074f25" /><Relationship Type="http://schemas.openxmlformats.org/officeDocument/2006/relationships/worksheet" Target="/xl/worksheets/sheet2.xml" Id="Re965212464c44986" /><Relationship Type="http://schemas.openxmlformats.org/officeDocument/2006/relationships/worksheet" Target="/xl/worksheets/sheet3.xml" Id="R61438b4700a440cc" /><Relationship Type="http://schemas.openxmlformats.org/officeDocument/2006/relationships/worksheet" Target="/xl/worksheets/sheet4.xml" Id="R9ff3e3a341004cce" /><Relationship Type="http://schemas.openxmlformats.org/officeDocument/2006/relationships/worksheet" Target="/xl/worksheets/sheet5.xml" Id="Rb3b7d573fcd448b0" /></Relationships>
</file>

<file path=xl/tables/table1.xml><?xml version="1.0" encoding="utf-8"?>
<x:table xmlns:x="http://schemas.openxmlformats.org/spreadsheetml/2006/main" id="2" name="SprintPlanTable" displayName="SprintPlanTable" ref="A4:N23" headerRowCount="1" totalsRowCount="0" totalsRowShown="0">
  <x:tableColumns count="14">
    <x:tableColumn id="1" name="Sprint"/>
    <x:tableColumn id="2" name="Order"/>
    <x:tableColumn id="3" name="#ISSUE"/>
    <x:tableColumn id="4" name="Type"/>
    <x:tableColumn id="5" name="Page"/>
    <x:tableColumn id="6" name="Detail"/>
    <x:tableColumn id="7" name="Priority"/>
    <x:tableColumn id="8" name="Capacity points"/>
    <x:tableColumn id="9" name="Created date"/>
    <x:tableColumn id="10" name="Created by"/>
    <x:tableColumn id="11" name="Status"/>
    <x:tableColumn id="12" name="Action Log/Remark"/>
    <x:tableColumn id="13" name="Remark signal"/>
    <x:tableColumn id="14" name="Planning rationale"/>
  </x:tableColumns>
  <x:tableStyleInfo name="TableStyleMedium2" showFirstColumn="0" showLastColumn="0" showRowStripes="1" showColumnStripes="0"/>
</x:table>
</file>

<file path=xl/tables/table2.xml><?xml version="1.0" encoding="utf-8"?>
<x:table xmlns:x="http://schemas.openxmlformats.org/spreadsheetml/2006/main" id="3" name="TBCDecisionTable" displayName="TBCDecisionTable" ref="A3:I5" headerRowCount="1" totalsRowCount="0" totalsRowShown="0">
  <x:tableColumns count="9">
    <x:tableColumn id="1" name="#ISSUE"/>
    <x:tableColumn id="2" name="Type"/>
    <x:tableColumn id="3" name="Page"/>
    <x:tableColumn id="4" name="Detail"/>
    <x:tableColumn id="5" name="Priority"/>
    <x:tableColumn id="6" name="Status"/>
    <x:tableColumn id="7" name="Remark"/>
    <x:tableColumn id="8" name="Decision needed"/>
    <x:tableColumn id="9" name="Next action"/>
  </x:tableColumns>
  <x:tableStyleInfo name="TableStyleMedium4" showFirstColumn="0" showLastColumn="0" showRowStripes="1" showColumnStripes="0"/>
</x:table>
</file>

<file path=xl/tables/table3.xml><?xml version="1.0" encoding="utf-8"?>
<x:table xmlns:x="http://schemas.openxmlformats.org/spreadsheetml/2006/main" id="1" name="AllAnalysisTable" displayName="AllAnalysisTable" ref="A1:M63" headerRowCount="1" totalsRowCount="0" totalsRowShown="0">
  <x:tableColumns count="13">
    <x:tableColumn id="1" name="#ISSUE"/>
    <x:tableColumn id="2" name="Type"/>
    <x:tableColumn id="3" name="Page"/>
    <x:tableColumn id="4" name="Detail"/>
    <x:tableColumn id="5" name="Priority"/>
    <x:tableColumn id="6" name="Created date"/>
    <x:tableColumn id="7" name="Created by"/>
    <x:tableColumn id="8" name="Status"/>
    <x:tableColumn id="9" name="Resolved date"/>
    <x:tableColumn id="10" name="Action Log/Remark"/>
    <x:tableColumn id="11" name="Remark signal"/>
    <x:tableColumn id="12" name="Planning disposition"/>
    <x:tableColumn id="13" name="Priority ran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82cd3b36dca4f7e" /></Relationships>
</file>

<file path=xl/worksheets/_rels/sheet3.xml.rels>&#65279;<?xml version="1.0" encoding="utf-8"?><Relationships xmlns="http://schemas.openxmlformats.org/package/2006/relationships"><Relationship Type="http://schemas.openxmlformats.org/officeDocument/2006/relationships/table" Target="/xl/tables/table2.xml" Id="Ref8f2eff20cc4a6f" /></Relationships>
</file>

<file path=xl/worksheets/_rels/sheet4.xml.rels>&#65279;<?xml version="1.0" encoding="utf-8"?><Relationships xmlns="http://schemas.openxmlformats.org/package/2006/relationships"><Relationship Type="http://schemas.openxmlformats.org/officeDocument/2006/relationships/table" Target="/xl/tables/table3.xml" Id="R8e3941e3df824fac"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18" hidden="0" customWidth="1"/>
    <x:col min="4" max="4" width="18" hidden="0" customWidth="1"/>
    <x:col min="5" max="5" width="18" hidden="0" customWidth="1"/>
    <x:col min="6" max="6" width="14" hidden="0" customWidth="1"/>
    <x:col min="7" max="7" width="52" hidden="0" customWidth="1"/>
    <x:col min="8" max="8" width="52" hidden="0" customWidth="1"/>
  </x:cols>
  <x:sheetData>
    <x:row r="1">
      <x:c r="A1" s="22" t="str">
        <x:v>KBMS Sprint Planning Summary</x:v>
      </x:c>
      <x:c r="B1" s="22"/>
      <x:c r="C1" s="22"/>
      <x:c r="D1" s="22"/>
      <x:c r="E1" s="22"/>
      <x:c r="F1" s="22"/>
      <x:c r="G1" s="22"/>
      <x:c r="H1" s="22"/>
    </x:row>
    <x:row r="2">
      <x:c r="A2" s="35" t="str">
        <x:v>Scope: Type = ISSUE, CR, ADJUST | Source: Production_KBMS_issue log_202511203 (2).xlsx</x:v>
      </x:c>
      <x:c r="B2" s="35"/>
      <x:c r="C2" s="35"/>
      <x:c r="D2" s="35"/>
      <x:c r="E2" s="35"/>
      <x:c r="F2" s="35"/>
      <x:c r="G2" s="35"/>
      <x:c r="H2" s="35"/>
    </x:row>
    <x:row r="4">
      <x:c r="A4" s="20" t="str">
        <x:v>Planned open items</x:v>
      </x:c>
      <x:c r="B4" s="20" t="str">
        <x:v>TBC decisions</x:v>
      </x:c>
      <x:c r="C4" s="20" t="str">
        <x:v>Execution model</x:v>
      </x:c>
      <x:c r="D4" s="20" t="str">
        <x:v>Verification</x:v>
      </x:c>
      <x:c r="E4" s="20" t="str">
        <x:v>Capacity / Sprint</x:v>
      </x:c>
    </x:row>
    <x:row r="5">
      <x:c r="A5" s="38" t="n">
        <x:f>COUNTA('Sprint Plan'!$C$5:$C$23)</x:f>
        <x:v>19</x:v>
      </x:c>
      <x:c r="B5" s="38" t="n">
        <x:f>COUNTA('TBC &amp; Decisions'!$A$4:$A$5)</x:f>
        <x:v>2</x:v>
      </x:c>
      <x:c r="C5" s="38" t="str">
        <x:v>1 คน + Codex</x:v>
      </x:c>
      <x:c r="D5" s="38" t="str">
        <x:v>คนเดิมตรวจซ้ำ</x:v>
      </x:c>
      <x:c r="E5" s="38" t="n">
        <x:f>'Planning Rules'!B16</x:f>
        <x:v>8</x:v>
      </x:c>
    </x:row>
    <x:row r="8" ht="15" hidden="0" customHeight="1">
      <x:c r="A8" s="43" t="str">
        <x:v>Sprint</x:v>
      </x:c>
      <x:c r="B8" s="44" t="str">
        <x:v>Primary priority</x:v>
      </x:c>
      <x:c r="C8" s="44" t="str">
        <x:v>Items</x:v>
      </x:c>
      <x:c r="D8" s="44" t="str">
        <x:v>Planned points</x:v>
      </x:c>
      <x:c r="E8" s="44" t="str">
        <x:v>Capacity</x:v>
      </x:c>
      <x:c r="F8" s="44" t="str">
        <x:v>Utilization</x:v>
      </x:c>
      <x:c r="G8" s="44" t="str">
        <x:v>Work packages / focus</x:v>
      </x:c>
      <x:c r="H8" s="45" t="str">
        <x:v>Planning note</x:v>
      </x:c>
    </x:row>
    <x:row r="9" ht="15" hidden="0" customHeight="1">
      <x:c r="A9" s="31" t="str">
        <x:v>Sprint 1</x:v>
      </x:c>
      <x:c r="B9" s="31" t="str">
        <x:v>Very High</x:v>
      </x:c>
      <x:c r="C9" s="31" t="n">
        <x:f>COUNTIF('Sprint Plan'!$A$5:$A$23,A9)</x:f>
        <x:v>2</x:v>
      </x:c>
      <x:c r="D9" s="31" t="n">
        <x:f>SUMIF('Sprint Plan'!$A$5:$A$23,A9,'Sprint Plan'!$H$5:$H$23)</x:f>
        <x:v>8</x:v>
      </x:c>
      <x:c r="E9" s="31" t="n">
        <x:f>'Planning Rules'!$B$16</x:f>
        <x:v>8</x:v>
      </x:c>
      <x:c r="F9" s="46" t="n">
        <x:f>D9/E9</x:f>
        <x:v>1</x:v>
      </x:c>
      <x:c r="G9" s="31" t="str">
        <x:v>Upload &gt;300 rows + Approve OTB blocker</x:v>
      </x:c>
      <x:c r="H9" s="31" t="str">
        <x:v>เต็ม Capacity; ปิดและ Verify #65 ก่อนเริ่ม #68</x:v>
      </x:c>
    </x:row>
    <x:row r="10" ht="15" hidden="0" customHeight="1">
      <x:c r="A10" s="31" t="str">
        <x:v>Sprint 2</x:v>
      </x:c>
      <x:c r="B10" s="31" t="str">
        <x:v>Very High</x:v>
      </x:c>
      <x:c r="C10" s="31" t="n">
        <x:f>COUNTIF('Sprint Plan'!$A$5:$A$23,A10)</x:f>
        <x:v>3</x:v>
      </x:c>
      <x:c r="D10" s="31" t="n">
        <x:f>SUMIF('Sprint Plan'!$A$5:$A$23,A10,'Sprint Plan'!$H$5:$H$23)</x:f>
        <x:v>8</x:v>
      </x:c>
      <x:c r="E10" s="31" t="n">
        <x:f>'Planning Rules'!$B$16</x:f>
        <x:v>8</x:v>
      </x:c>
      <x:c r="F10" s="46" t="n">
        <x:f>D10/E10</x:f>
        <x:v>1</x:v>
      </x:c>
      <x:c r="G10" s="31" t="str">
        <x:v>Export TXN calculation + Create Switch warnings</x:v>
      </x:c>
      <x:c r="H10" s="31" t="str">
        <x:v>เต็ม Capacity; #64 ใช้ Test case ร่วมกับ #58</x:v>
      </x:c>
    </x:row>
    <x:row r="11" ht="15" hidden="0" customHeight="1">
      <x:c r="A11" s="31" t="str">
        <x:v>Sprint 3</x:v>
      </x:c>
      <x:c r="B11" s="31" t="str">
        <x:v>Very High / High</x:v>
      </x:c>
      <x:c r="C11" s="31" t="n">
        <x:f>COUNTIF('Sprint Plan'!$A$5:$A$23,A11)</x:f>
        <x:v>3</x:v>
      </x:c>
      <x:c r="D11" s="31" t="n">
        <x:f>SUMIF('Sprint Plan'!$A$5:$A$23,A11,'Sprint Plan'!$H$5:$H$23)</x:f>
        <x:v>8</x:v>
      </x:c>
      <x:c r="E11" s="31" t="n">
        <x:f>'Planning Rules'!$B$16</x:f>
        <x:v>8</x:v>
      </x:c>
      <x:c r="F11" s="46" t="n">
        <x:f>D11/E11</x:f>
        <x:v>1</x:v>
      </x:c>
      <x:c r="G11" s="31" t="str">
        <x:v>SAP preview + OTB Remaining/Export Summary</x:v>
      </x:c>
      <x:c r="H11" s="31" t="str">
        <x:v>เต็ม Capacity; ตรวจยอดรวมและ Regression Report</x:v>
      </x:c>
    </x:row>
    <x:row r="12" ht="15" hidden="0" customHeight="1">
      <x:c r="A12" s="31" t="str">
        <x:v>Sprint 4</x:v>
      </x:c>
      <x:c r="B12" s="31" t="str">
        <x:v>High</x:v>
      </x:c>
      <x:c r="C12" s="31" t="n">
        <x:f>COUNTIF('Sprint Plan'!$A$5:$A$23,A12)</x:f>
        <x:v>4</x:v>
      </x:c>
      <x:c r="D12" s="31" t="n">
        <x:f>SUMIF('Sprint Plan'!$A$5:$A$23,A12,'Sprint Plan'!$H$5:$H$23)</x:f>
        <x:v>8</x:v>
      </x:c>
      <x:c r="E12" s="31" t="n">
        <x:f>'Planning Rules'!$B$16</x:f>
        <x:v>8</x:v>
      </x:c>
      <x:c r="F12" s="46" t="n">
        <x:f>D12/E12</x:f>
        <x:v>1</x:v>
      </x:c>
      <x:c r="G12" s="31" t="str">
        <x:v>Multi-filter across Draft PO / OTB pages</x:v>
      </x:c>
      <x:c r="H12" s="31" t="str">
        <x:v>4 Issue IDs แต่เป็น Feature package เดียวและ Reuse logic</x:v>
      </x:c>
    </x:row>
    <x:row r="13" ht="15" hidden="0" customHeight="1">
      <x:c r="A13" s="31" t="str">
        <x:v>Sprint 5</x:v>
      </x:c>
      <x:c r="B13" s="31" t="str">
        <x:v>High / Medium</x:v>
      </x:c>
      <x:c r="C13" s="31" t="n">
        <x:f>COUNTIF('Sprint Plan'!$A$5:$A$23,A13)</x:f>
        <x:v>3</x:v>
      </x:c>
      <x:c r="D13" s="31" t="n">
        <x:f>SUMIF('Sprint Plan'!$A$5:$A$23,A13,'Sprint Plan'!$H$5:$H$23)</x:f>
        <x:v>8</x:v>
      </x:c>
      <x:c r="E13" s="31" t="n">
        <x:f>'Planning Rules'!$B$16</x:f>
        <x:v>8</x:v>
      </x:c>
      <x:c r="F13" s="46" t="n">
        <x:f>D13/E13</x:f>
        <x:v>1</x:v>
      </x:c>
      <x:c r="G13" s="31" t="str">
        <x:v>Draft PO preview + Bulk Upload + Auto Segment</x:v>
      </x:c>
      <x:c r="H13" s="31" t="str">
        <x:v>เต็ม Capacity; ทำ #38 ก่อน แล้วต่อ #52/#8</x:v>
      </x:c>
    </x:row>
    <x:row r="14" ht="15" hidden="0" customHeight="1">
      <x:c r="A14" s="31" t="str">
        <x:v>Sprint 6</x:v>
      </x:c>
      <x:c r="B14" s="31" t="str">
        <x:v>Medium / Low</x:v>
      </x:c>
      <x:c r="C14" s="31" t="n">
        <x:f>COUNTIF('Sprint Plan'!$A$5:$A$23,A14)</x:f>
        <x:v>2</x:v>
      </x:c>
      <x:c r="D14" s="31" t="n">
        <x:f>SUMIF('Sprint Plan'!$A$5:$A$23,A14,'Sprint Plan'!$H$5:$H$23)</x:f>
        <x:v>7</x:v>
      </x:c>
      <x:c r="E14" s="31" t="n">
        <x:f>'Planning Rules'!$B$16</x:f>
        <x:v>8</x:v>
      </x:c>
      <x:c r="F14" s="46" t="n">
        <x:f>D14/E14</x:f>
        <x:v>0.875</x:v>
      </x:c>
      <x:c r="G14" s="31" t="str">
        <x:v>Report numeric types + Freeze header</x:v>
      </x:c>
      <x:c r="H14" s="31" t="str">
        <x:v>เหลือ Buffer 1 point สำหรับ Regression กว้างของ #49</x:v>
      </x:c>
    </x:row>
    <x:row r="15" ht="15" hidden="0" customHeight="1">
      <x:c r="A15" s="31" t="str">
        <x:v>Sprint 7</x:v>
      </x:c>
      <x:c r="B15" s="31" t="str">
        <x:v>Low</x:v>
      </x:c>
      <x:c r="C15" s="31" t="n">
        <x:f>COUNTIF('Sprint Plan'!$A$5:$A$23,A15)</x:f>
        <x:v>2</x:v>
      </x:c>
      <x:c r="D15" s="31" t="n">
        <x:f>SUMIF('Sprint Plan'!$A$5:$A$23,A15,'Sprint Plan'!$H$5:$H$23)</x:f>
        <x:v>6</x:v>
      </x:c>
      <x:c r="E15" s="31" t="n">
        <x:f>'Planning Rules'!$B$16</x:f>
        <x:v>8</x:v>
      </x:c>
      <x:c r="F15" s="46" t="n">
        <x:f>D15/E15</x:f>
        <x:v>0.75</x:v>
      </x:c>
      <x:c r="G15" s="31" t="str">
        <x:v>UI colors + Copy/paste Technical Spike</x:v>
      </x:c>
      <x:c r="H15" s="31" t="str">
        <x:v>ใช้ 6/8 points; เหลือ Buffer รองรับความไม่แน่นอนของ #3</x:v>
      </x:c>
    </x:row>
    <x:row r="16" ht="15" hidden="0" customHeight="1">
      <x:c r="A16" s="31"/>
      <x:c r="B16" s="31"/>
      <x:c r="C16" s="31"/>
      <x:c r="D16" s="31"/>
      <x:c r="E16" s="31"/>
      <x:c r="F16" s="31"/>
      <x:c r="G16" s="31"/>
      <x:c r="H16" s="31"/>
    </x:row>
    <x:row r="17" ht="15" hidden="0" customHeight="1">
      <x:c r="A17" s="47" t="str">
        <x:v>ข้อควรระวังก่อน Commit Sprint</x:v>
      </x:c>
      <x:c r="B17" s="47"/>
      <x:c r="C17" s="47"/>
      <x:c r="D17" s="47"/>
      <x:c r="E17" s="47"/>
      <x:c r="F17" s="47"/>
      <x:c r="G17" s="47"/>
      <x:c r="H17" s="47"/>
    </x:row>
    <x:row r="18" ht="15" hidden="0" customHeight="1">
      <x:c r="A18" s="48" t="str">
        <x:v>1) 8 Capacity Points/Sprint เป็น Baseline เบื้องต้นสำหรับ 2 สัปดาห์ ต้องปรับจาก Velocity จริงหลังจบ 1-2 Sprint</x:v>
      </x:c>
      <x:c r="B18" s="48"/>
      <x:c r="C18" s="48"/>
      <x:c r="D18" s="48"/>
      <x:c r="E18" s="48"/>
      <x:c r="F18" s="48"/>
      <x:c r="G18" s="48"/>
      <x:c r="H18" s="48"/>
    </x:row>
    <x:row r="19" ht="15" hidden="0" customHeight="1">
      <x:c r="A19" s="48" t="str">
        <x:v>2) Estimate รวม Coding ด้วย Codex + Human Review/Verify แล้ว แต่ยังต้อง Refinement ก่อน Commit</x:v>
      </x:c>
      <x:c r="B19" s="48"/>
      <x:c r="C19" s="48"/>
      <x:c r="D19" s="48"/>
      <x:c r="E19" s="48"/>
      <x:c r="F19" s="48"/>
      <x:c r="G19" s="48"/>
      <x:c r="H19" s="48"/>
    </x:row>
    <x:row r="20" ht="15" hidden="0" customHeight="1">
      <x:c r="A20" s="48" t="str">
        <x:v>3) #16 และ #17 ควรตรวจว่าเป็น CR เดิมจาก UAT หรือไม่ เพื่อลดงานซ้ำ</x:v>
      </x:c>
      <x:c r="B20" s="48"/>
      <x:c r="C20" s="48"/>
      <x:c r="D20" s="48"/>
      <x:c r="E20" s="48"/>
      <x:c r="F20" s="48"/>
      <x:c r="G20" s="48"/>
      <x:c r="H20" s="48"/>
    </x:row>
    <x:row r="21" ht="15" hidden="0" customHeight="1">
      <x:c r="A21" s="48" t="str">
        <x:v>4) #43 และ #67 ต้องยืนยัน Requirement และ Priority ก่อนนำเข้า Sprint</x:v>
      </x:c>
      <x:c r="B21" s="48"/>
      <x:c r="C21" s="48"/>
      <x:c r="D21" s="48"/>
      <x:c r="E21" s="48"/>
      <x:c r="F21" s="48"/>
      <x:c r="G21" s="48"/>
      <x:c r="H21" s="48"/>
    </x:row>
  </x:sheetData>
  <x:mergeCells>
    <x:mergeCell ref="A1:H1"/>
    <x:mergeCell ref="A2:H2"/>
    <x:mergeCell ref="A17:H17"/>
    <x:mergeCell ref="A18:H18"/>
    <x:mergeCell ref="A19:H19"/>
    <x:mergeCell ref="A20:H20"/>
    <x:mergeCell ref="A21:H2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8" hidden="0" customWidth="1"/>
    <x:col min="3" max="3" width="9" hidden="0" customWidth="1"/>
    <x:col min="4" max="4" width="10" hidden="0" customWidth="1"/>
    <x:col min="5" max="5" width="20" hidden="0" customWidth="1"/>
    <x:col min="6" max="6" width="60" hidden="0" customWidth="1"/>
    <x:col min="7" max="7" width="13" hidden="0" customWidth="1"/>
    <x:col min="8" max="8" width="14" hidden="0" customWidth="1"/>
    <x:col min="9" max="9" width="14" hidden="0" customWidth="1"/>
    <x:col min="10" max="10" width="12" hidden="0" customWidth="1"/>
    <x:col min="11" max="11" width="11" hidden="0" customWidth="1"/>
    <x:col min="12" max="12" width="50" hidden="0" customWidth="1"/>
    <x:col min="13" max="13" width="22" hidden="0" customWidth="1"/>
    <x:col min="14" max="14" width="52" hidden="0" customWidth="1"/>
  </x:cols>
  <x:sheetData>
    <x:row r="1">
      <x:c r="A1" s="49" t="str">
        <x:v>KBMS Proposed Sprint Plan — Open Issue / CR / Adjust</x:v>
      </x:c>
      <x:c r="B1" s="50"/>
      <x:c r="C1" s="50"/>
      <x:c r="D1" s="50"/>
      <x:c r="E1" s="50"/>
      <x:c r="F1" s="50"/>
      <x:c r="G1" s="50"/>
      <x:c r="H1" s="50"/>
      <x:c r="I1" s="50"/>
      <x:c r="J1" s="50"/>
      <x:c r="K1" s="50"/>
      <x:c r="L1" s="50"/>
      <x:c r="M1" s="50"/>
      <x:c r="N1" s="51"/>
    </x:row>
    <x:row r="2">
      <x:c r="A2" s="52" t="str">
        <x:v>Capacity Model: 2-week Sprint | 1 คน + Codex | คนเดิม Verify | ไม่เกิน 8 Capacity Points/Sprint | ไม่รวม Done, Cancelled และ TBC</x:v>
      </x:c>
      <x:c r="B2" s="53"/>
      <x:c r="C2" s="53"/>
      <x:c r="D2" s="53"/>
      <x:c r="E2" s="53"/>
      <x:c r="F2" s="53"/>
      <x:c r="G2" s="53"/>
      <x:c r="H2" s="53"/>
      <x:c r="I2" s="53"/>
      <x:c r="J2" s="53"/>
      <x:c r="K2" s="53"/>
      <x:c r="L2" s="53"/>
      <x:c r="M2" s="53"/>
      <x:c r="N2" s="54"/>
    </x:row>
    <x:row r="3">
      <x:c r="A3" s="55"/>
      <x:c r="B3" s="56"/>
      <x:c r="C3" s="56"/>
      <x:c r="D3" s="56"/>
      <x:c r="E3" s="56"/>
      <x:c r="F3" s="56"/>
      <x:c r="G3" s="56"/>
      <x:c r="H3" s="56"/>
      <x:c r="I3" s="56"/>
      <x:c r="J3" s="56"/>
      <x:c r="K3" s="56"/>
      <x:c r="L3" s="56"/>
      <x:c r="M3" s="56"/>
      <x:c r="N3" s="57"/>
    </x:row>
    <x:row r="4">
      <x:c r="A4" s="58" t="str">
        <x:v>Sprint</x:v>
      </x:c>
      <x:c r="B4" s="59" t="str">
        <x:v>Order</x:v>
      </x:c>
      <x:c r="C4" s="59" t="str">
        <x:v>#ISSUE</x:v>
      </x:c>
      <x:c r="D4" s="59" t="str">
        <x:v>Type</x:v>
      </x:c>
      <x:c r="E4" s="59" t="str">
        <x:v>Page</x:v>
      </x:c>
      <x:c r="F4" s="59" t="str">
        <x:v>Detail</x:v>
      </x:c>
      <x:c r="G4" s="59" t="str">
        <x:v>Priority</x:v>
      </x:c>
      <x:c r="H4" s="59" t="str">
        <x:v>Capacity points</x:v>
      </x:c>
      <x:c r="I4" s="59" t="str">
        <x:v>Created date</x:v>
      </x:c>
      <x:c r="J4" s="59" t="str">
        <x:v>Created by</x:v>
      </x:c>
      <x:c r="K4" s="59" t="str">
        <x:v>Status</x:v>
      </x:c>
      <x:c r="L4" s="59" t="str">
        <x:v>Action Log/Remark</x:v>
      </x:c>
      <x:c r="M4" s="59" t="str">
        <x:v>Remark signal</x:v>
      </x:c>
      <x:c r="N4" s="60" t="str">
        <x:v>Planning rationale</x:v>
      </x:c>
    </x:row>
    <x:row r="5">
      <x:c r="A5" s="61" t="str">
        <x:v>Sprint 1</x:v>
      </x:c>
      <x:c r="B5" s="62" t="n">
        <x:v>1</x:v>
      </x:c>
      <x:c r="C5" s="62" t="n">
        <x:v>65</x:v>
      </x:c>
      <x:c r="D5" s="62" t="str">
        <x:v>ISSUE</x:v>
      </x:c>
      <x:c r="E5" s="63" t="str">
        <x:v>Draft OTB</x:v>
      </x:c>
      <x:c r="F5" s="63" t="str">
        <x:v>ตอนอัปโหลด plan budget / revised / switch ไม่สามารถอัปโหลดข้อมูลที่มีมากกว่า 300 บรรทัดได้</x:v>
      </x:c>
      <x:c r="G5" s="63" t="str">
        <x:v>Very High</x:v>
      </x:c>
      <x:c r="H5" s="64" t="n">
        <x:v>5</x:v>
      </x:c>
      <x:c r="I5" s="65" t="n">
        <x:v>46195</x:v>
      </x:c>
      <x:c r="J5" s="63" t="str">
        <x:v>Pech</x:v>
      </x:c>
      <x:c r="K5" s="63" t="str">
        <x:v>Open</x:v>
      </x:c>
      <x:c r="L5" s="63" t="str">
        <x:v>High!!!!!!!! พี่กู่ รีบดำเนินการ</x:v>
      </x:c>
      <x:c r="M5" s="63" t="str">
        <x:v>เร่งด่วนตาม Remark</x:v>
      </x:c>
      <x:c r="N5" s="66" t="str">
        <x:v>Blocker และเร่งด่วน; งานรองรับข้อมูลมากกว่า 300 บรรทัด ประเมิน Large รวม Verify</x:v>
      </x:c>
    </x:row>
    <x:row r="6">
      <x:c r="A6" s="61" t="str">
        <x:v>Sprint 1</x:v>
      </x:c>
      <x:c r="B6" s="62" t="n">
        <x:v>2</x:v>
      </x:c>
      <x:c r="C6" s="62" t="n">
        <x:v>68</x:v>
      </x:c>
      <x:c r="D6" s="62" t="str">
        <x:v>ISSUE</x:v>
      </x:c>
      <x:c r="E6" s="63" t="str">
        <x:v>Draft OTB</x:v>
      </x:c>
      <x:c r="F6" s="63" t="str">
        <x:v>ตอนกด Approve OTB ไม่สามารถดำเนินการได้</x:v>
      </x:c>
      <x:c r="G6" s="63" t="str">
        <x:v>Very High</x:v>
      </x:c>
      <x:c r="H6" s="64" t="n">
        <x:v>3</x:v>
      </x:c>
      <x:c r="I6" s="65" t="n">
        <x:v>46238</x:v>
      </x:c>
      <x:c r="J6" s="63" t="str">
        <x:v>Pech</x:v>
      </x:c>
      <x:c r="K6" s="63" t="str">
        <x:v>Open</x:v>
      </x:c>
      <x:c r="L6" s="63" t="str">
        <x:v>High!!!!!!!! พี่กู่ รีบดำเนินการ</x:v>
      </x:c>
      <x:c r="M6" s="63" t="str">
        <x:v>เร่งด่วนตาม Remark</x:v>
      </x:c>
      <x:c r="N6" s="66" t="str">
        <x:v>Blocker และเร่งด่วน; แก้ Approve OTB พร้อม Regression Test</x:v>
      </x:c>
    </x:row>
    <x:row r="7">
      <x:c r="A7" s="61" t="str">
        <x:v>Sprint 2</x:v>
      </x:c>
      <x:c r="B7" s="62" t="n">
        <x:v>1</x:v>
      </x:c>
      <x:c r="C7" s="62" t="n">
        <x:v>37</x:v>
      </x:c>
      <x:c r="D7" s="62" t="str">
        <x:v>CR</x:v>
      </x:c>
      <x:c r="E7" s="63" t="str">
        <x:v>OTB Remaining</x:v>
      </x:c>
      <x:c r="F7" s="63" t="str">
        <x:v>ในส่วนของ Export TXN Report ที่ออกมาหมวดของ Out ให้แสดงข้อมูลโชว์เครื่องหมายติดลบ ซึ่งจะมีผลกับ total budget ที่ต้องเปลี่ยนวิธีการคำนวณใหม่</x:v>
      </x:c>
      <x:c r="G7" s="63" t="str">
        <x:v>Very High</x:v>
      </x:c>
      <x:c r="H7" s="64" t="n">
        <x:v>3</x:v>
      </x:c>
      <x:c r="I7" s="65" t="n">
        <x:v>46029</x:v>
      </x:c>
      <x:c r="J7" s="63" t="str">
        <x:v>Pech</x:v>
      </x:c>
      <x:c r="K7" s="63" t="str">
        <x:v>Open</x:v>
      </x:c>
      <x:c r="L7" s="63" t="str">
        <x:v>Solution แก้เฉพาะตอน gen report excel เท่านั้น เฉพาะที่เป็น column out เท่านั้น ไม่ต้องแก้ Display ที่ Web
พี่ี่ี่กู่ รีบดำเนินการ</x:v>
      </x:c>
      <x:c r="M7" s="63" t="str">
        <x:v>เร่งด่วนตาม Remark</x:v>
      </x:c>
      <x:c r="N7" s="66" t="str">
        <x:v>Very High; เปลี่ยนการคำนวณ Export TXN และต้องตรวจผลรวม</x:v>
      </x:c>
    </x:row>
    <x:row r="8">
      <x:c r="A8" s="61" t="str">
        <x:v>Sprint 2</x:v>
      </x:c>
      <x:c r="B8" s="62" t="n">
        <x:v>2</x:v>
      </x:c>
      <x:c r="C8" s="62" t="n">
        <x:v>58</x:v>
      </x:c>
      <x:c r="D8" s="62" t="str">
        <x:v>ADJUST</x:v>
      </x:c>
      <x:c r="E8" s="63" t="str">
        <x:v>Create Switch</x:v>
      </x:c>
      <x:c r="F8" s="63" t="str">
        <x:v>กรณีทำรายการ switch ถ้าไม่ใช่เดือนเดียวกันให้ไฮไลท์สีเหลือง และมี remark warning ว่า "เดือนไม่สอดคล้องกัน"</x:v>
      </x:c>
      <x:c r="G8" s="63" t="str">
        <x:v>Very High</x:v>
      </x:c>
      <x:c r="H8" s="64" t="n">
        <x:v>3</x:v>
      </x:c>
      <x:c r="I8" s="65" t="n">
        <x:v>46079</x:v>
      </x:c>
      <x:c r="J8" s="63" t="str">
        <x:v>Nid</x:v>
      </x:c>
      <x:c r="K8" s="63" t="str">
        <x:v>Open</x:v>
      </x:c>
      <x:c r="L8" s="63" t="str"/>
      <x:c r="M8" s="63" t="str"/>
      <x:c r="N8" s="66" t="str">
        <x:v>Very High; Requirement หลักของชุด Warning ใน Create Switch</x:v>
      </x:c>
    </x:row>
    <x:row r="9">
      <x:c r="A9" s="61" t="str">
        <x:v>Sprint 2</x:v>
      </x:c>
      <x:c r="B9" s="62" t="n">
        <x:v>3</x:v>
      </x:c>
      <x:c r="C9" s="62" t="n">
        <x:v>64</x:v>
      </x:c>
      <x:c r="D9" s="62" t="str">
        <x:v>ADJUST</x:v>
      </x:c>
      <x:c r="E9" s="63" t="str">
        <x:v>Create Switch</x:v>
      </x:c>
      <x:c r="F9" s="63" t="str">
        <x:v>อ้างอิงตามข้อ 58 : เมื่อ switch budget ตอนหน้า previwe หากมีจุดทศนิยม ให้ระบบ ไฮไลท์สีเหลือง เพื่อแจ้งเตือนให้รีวิวยอดอีกครั้ง</x:v>
      </x:c>
      <x:c r="G9" s="63" t="str">
        <x:v>Very High</x:v>
      </x:c>
      <x:c r="H9" s="64" t="n">
        <x:v>2</x:v>
      </x:c>
      <x:c r="I9" s="65" t="n">
        <x:v>46195</x:v>
      </x:c>
      <x:c r="J9" s="63" t="str">
        <x:v>Nid</x:v>
      </x:c>
      <x:c r="K9" s="63" t="str">
        <x:v>Open</x:v>
      </x:c>
      <x:c r="L9" s="63" t="str">
        <x:v>พี่ี่กู่ ดำเนินการ</x:v>
      </x:c>
      <x:c r="M9" s="63" t="str">
        <x:v>กำลังดำเนินการ</x:v>
      </x:c>
      <x:c r="N9" s="66" t="str">
        <x:v>Very High; ทำต่อจาก #58 และใช้ชุดทดสอบร่วมกัน</x:v>
      </x:c>
    </x:row>
    <x:row r="10">
      <x:c r="A10" s="61" t="str">
        <x:v>Sprint 3</x:v>
      </x:c>
      <x:c r="B10" s="62" t="n">
        <x:v>1</x:v>
      </x:c>
      <x:c r="C10" s="62" t="n">
        <x:v>69</x:v>
      </x:c>
      <x:c r="D10" s="62" t="str">
        <x:v>CR</x:v>
      </x:c>
      <x:c r="E10" s="63" t="str">
        <x:v>Draft OTB</x:v>
      </x:c>
      <x:c r="F10" s="63" t="str">
        <x:v>ตอน Preview เพื่อ submit ไป SAP อยากให้มีสรุป ยอด diff, ยอด revised, ยอด total budget,</x:v>
      </x:c>
      <x:c r="G10" s="63" t="str">
        <x:v>Very High</x:v>
      </x:c>
      <x:c r="H10" s="64" t="n">
        <x:v>3</x:v>
      </x:c>
      <x:c r="I10" s="65" t="n">
        <x:v>46238</x:v>
      </x:c>
      <x:c r="J10" s="63" t="str">
        <x:v>Nid</x:v>
      </x:c>
      <x:c r="K10" s="63" t="str">
        <x:v>Open</x:v>
      </x:c>
      <x:c r="L10" s="63" t="str">
        <x:v>พี่ี่กู่ ดำเนินการ</x:v>
      </x:c>
      <x:c r="M10" s="63" t="str">
        <x:v>กำลังดำเนินการ</x:v>
      </x:c>
      <x:c r="N10" s="66" t="str">
        <x:v>Very High; เพิ่ม Preview/Summary ก่อนส่ง SAP และ Verify ยอด</x:v>
      </x:c>
    </x:row>
    <x:row r="11">
      <x:c r="A11" s="61" t="str">
        <x:v>Sprint 3</x:v>
      </x:c>
      <x:c r="B11" s="62" t="n">
        <x:v>2</x:v>
      </x:c>
      <x:c r="C11" s="62" t="n">
        <x:v>12</x:v>
      </x:c>
      <x:c r="D11" s="62" t="str">
        <x:v>CR</x:v>
      </x:c>
      <x:c r="E11" s="63" t="str">
        <x:v>OTB Remaining</x:v>
      </x:c>
      <x:c r="F11" s="63" t="str">
        <x:v>เพิ่มบรรทัด Total Actual + Draft PO</x:v>
      </x:c>
      <x:c r="G11" s="63" t="str">
        <x:v>High</x:v>
      </x:c>
      <x:c r="H11" s="64" t="n">
        <x:v>2</x:v>
      </x:c>
      <x:c r="I11" s="65" t="n">
        <x:v>46007</x:v>
      </x:c>
      <x:c r="J11" s="63" t="str">
        <x:v>Pech</x:v>
      </x:c>
      <x:c r="K11" s="63" t="str">
        <x:v>Open</x:v>
      </x:c>
      <x:c r="L11" s="63" t="str">
        <x:v>พี่กู่ดำเนินการ</x:v>
      </x:c>
      <x:c r="M11" s="63" t="str">
        <x:v>กำลังดำเนินการ</x:v>
      </x:c>
      <x:c r="N11" s="66" t="str">
        <x:v>High; เพิ่ม Total Actual + Draft PO และตรวจยอดรวม</x:v>
      </x:c>
    </x:row>
    <x:row r="12">
      <x:c r="A12" s="61" t="str">
        <x:v>Sprint 3</x:v>
      </x:c>
      <x:c r="B12" s="62" t="n">
        <x:v>3</x:v>
      </x:c>
      <x:c r="C12" s="62" t="n">
        <x:v>31</x:v>
      </x:c>
      <x:c r="D12" s="62" t="str">
        <x:v>CR</x:v>
      </x:c>
      <x:c r="E12" s="63" t="str">
        <x:v>OTB Remaining</x:v>
      </x:c>
      <x:c r="F12" s="63" t="str">
        <x:v>เพิ่ิ่มหัวข้อคอลัม Actual PO / Draft PO / Total Actual + Draft PO ในหัวข้อ Export Summary
**ให้เหมือนในหัวข้อ Export TXN ตามตัวอย่างชีส ISSUE#31**</x:v>
      </x:c>
      <x:c r="G12" s="63" t="str">
        <x:v>High</x:v>
      </x:c>
      <x:c r="H12" s="64" t="n">
        <x:v>3</x:v>
      </x:c>
      <x:c r="I12" s="65" t="n">
        <x:v>46029</x:v>
      </x:c>
      <x:c r="J12" s="63" t="str">
        <x:v>Pech</x:v>
      </x:c>
      <x:c r="K12" s="63" t="str">
        <x:v>Open</x:v>
      </x:c>
      <x:c r="L12" s="63" t="str">
        <x:v>พี่กู่ดำเนินการ</x:v>
      </x:c>
      <x:c r="M12" s="63" t="str">
        <x:v>กำลังดำเนินการ</x:v>
      </x:c>
      <x:c r="N12" s="66" t="str">
        <x:v>High; ต่อเนื่องจาก #12 ใน Export Summary พร้อม Regression</x:v>
      </x:c>
    </x:row>
    <x:row r="13">
      <x:c r="A13" s="61" t="str">
        <x:v>Sprint 4</x:v>
      </x:c>
      <x:c r="B13" s="62" t="n">
        <x:v>1</x:v>
      </x:c>
      <x:c r="C13" s="62" t="n">
        <x:v>9</x:v>
      </x:c>
      <x:c r="D13" s="62" t="str">
        <x:v>CR</x:v>
      </x:c>
      <x:c r="E13" s="63" t="str">
        <x:v>Draft PO</x:v>
      </x:c>
      <x:c r="F13" s="63" t="str">
        <x:v>ในหมวดที่ให้เลือก สามารถ fiter เลือกหลาย cate / segment / company / brand / vendor / month / year</x:v>
      </x:c>
      <x:c r="G13" s="63" t="str">
        <x:v>High</x:v>
      </x:c>
      <x:c r="H13" s="64" t="n">
        <x:v>3</x:v>
      </x:c>
      <x:c r="I13" s="65" t="n">
        <x:v>45995</x:v>
      </x:c>
      <x:c r="J13" s="63" t="str">
        <x:v>Pech</x:v>
      </x:c>
      <x:c r="K13" s="63" t="str">
        <x:v>Open</x:v>
      </x:c>
      <x:c r="L13" s="63" t="str"/>
      <x:c r="M13" s="63" t="str"/>
      <x:c r="N13" s="66" t="str">
        <x:v>High; Feature หลัก Multi-filter บน Draft PO</x:v>
      </x:c>
    </x:row>
    <x:row r="14">
      <x:c r="A14" s="61" t="str">
        <x:v>Sprint 4</x:v>
      </x:c>
      <x:c r="B14" s="62" t="n">
        <x:v>2</x:v>
      </x:c>
      <x:c r="C14" s="62" t="n">
        <x:v>15</x:v>
      </x:c>
      <x:c r="D14" s="62" t="str">
        <x:v>CR</x:v>
      </x:c>
      <x:c r="E14" s="63" t="str">
        <x:v>OTB Remaining</x:v>
      </x:c>
      <x:c r="F14" s="63" t="str">
        <x:v>ในหมวดที่ให้เลือก สามารถ fiter เลือกหลาย cate / segment / company / brand / vendor / month / year</x:v>
      </x:c>
      <x:c r="G14" s="63" t="str">
        <x:v>High</x:v>
      </x:c>
      <x:c r="H14" s="64" t="n">
        <x:v>2</x:v>
      </x:c>
      <x:c r="I14" s="65" t="str">
        <x:v>19/12/25</x:v>
      </x:c>
      <x:c r="J14" s="63" t="str">
        <x:v>Pech</x:v>
      </x:c>
      <x:c r="K14" s="63" t="str">
        <x:v>Open</x:v>
      </x:c>
      <x:c r="L14" s="63" t="str"/>
      <x:c r="M14" s="63" t="str"/>
      <x:c r="N14" s="66" t="str">
        <x:v>High; Reuse แนวทาง Multi-filter บน OTB Remaining</x:v>
      </x:c>
    </x:row>
    <x:row r="15">
      <x:c r="A15" s="61" t="str">
        <x:v>Sprint 4</x:v>
      </x:c>
      <x:c r="B15" s="62" t="n">
        <x:v>3</x:v>
      </x:c>
      <x:c r="C15" s="62" t="n">
        <x:v>16</x:v>
      </x:c>
      <x:c r="D15" s="62" t="str">
        <x:v>CR</x:v>
      </x:c>
      <x:c r="E15" s="63" t="str">
        <x:v>Draft OTB</x:v>
      </x:c>
      <x:c r="F15" s="63" t="str">
        <x:v>ในหมวดที่ให้เลือก สามารถ fiter เลือกหลาย cate / segment / company / brand / vendor / month / year</x:v>
      </x:c>
      <x:c r="G15" s="63" t="str">
        <x:v>High</x:v>
      </x:c>
      <x:c r="H15" s="64" t="n">
        <x:v>2</x:v>
      </x:c>
      <x:c r="I15" s="65" t="str">
        <x:v>19/12/25</x:v>
      </x:c>
      <x:c r="J15" s="63" t="str">
        <x:v>Pech</x:v>
      </x:c>
      <x:c r="K15" s="63" t="str">
        <x:v>Open</x:v>
      </x:c>
      <x:c r="L15" s="63" t="str">
        <x:v>หัวข้อในส่วนของ Page นี้เหมือนเคยแจ้งไปตอน UAT ที่เป็น CR ไม่แน่ใจว่าลง log หรือยังแต่ลงไว้ให้ก่อนค่ะ</x:v>
      </x:c>
      <x:c r="M15" s="63" t="str">
        <x:v>ต้องยืนยัน/ตัดสินใจ</x:v>
      </x:c>
      <x:c r="N15" s="66" t="str">
        <x:v>High; Reuse แนวทางบน Draft OTB และทวน UAT เดิม</x:v>
      </x:c>
    </x:row>
    <x:row r="16">
      <x:c r="A16" s="61" t="str">
        <x:v>Sprint 4</x:v>
      </x:c>
      <x:c r="B16" s="62" t="n">
        <x:v>4</x:v>
      </x:c>
      <x:c r="C16" s="62" t="n">
        <x:v>17</x:v>
      </x:c>
      <x:c r="D16" s="62" t="str">
        <x:v>CR</x:v>
      </x:c>
      <x:c r="E16" s="63" t="str">
        <x:v>Approved OTB</x:v>
      </x:c>
      <x:c r="F16" s="63" t="str">
        <x:v>ในหมวดที่ให้เลือก สามารถ fiter เลือกหลาย cate / segment / company / brand / vendor / month / year</x:v>
      </x:c>
      <x:c r="G16" s="63" t="str">
        <x:v>High</x:v>
      </x:c>
      <x:c r="H16" s="64" t="n">
        <x:v>1</x:v>
      </x:c>
      <x:c r="I16" s="65" t="str">
        <x:v>19/12/25</x:v>
      </x:c>
      <x:c r="J16" s="63" t="str">
        <x:v>Pech</x:v>
      </x:c>
      <x:c r="K16" s="63" t="str">
        <x:v>Open</x:v>
      </x:c>
      <x:c r="L16" s="63" t="str">
        <x:v>หัวข้อในส่วนของ Page นี้เหมือนเคยแจ้งไปตอน UAT ที่เป็น CR ไม่แน่ใจว่าลง log หรือยังแต่ลงไว้ให้ก่อนค่ะ</x:v>
      </x:c>
      <x:c r="M16" s="63" t="str">
        <x:v>ต้องยืนยัน/ตัดสินใจ</x:v>
      </x:c>
      <x:c r="N16" s="66" t="str">
        <x:v>High; Reuse แนวทางบน Approved OTB และทวน UAT เดิม</x:v>
      </x:c>
    </x:row>
    <x:row r="17">
      <x:c r="A17" s="61" t="str">
        <x:v>Sprint 5</x:v>
      </x:c>
      <x:c r="B17" s="62" t="n">
        <x:v>1</x:v>
      </x:c>
      <x:c r="C17" s="62" t="n">
        <x:v>38</x:v>
      </x:c>
      <x:c r="D17" s="62" t="str">
        <x:v>CR</x:v>
      </x:c>
      <x:c r="E17" s="63" t="str">
        <x:v>Create Draft PO</x:v>
      </x:c>
      <x:c r="F17" s="63" t="str">
        <x:v>หน้า preview data เมื่อแสดงบอกว่า budget ไม่พอให้เพิ่มรายละเอียดคอลัม cate / brand **ตามตัวอย่างชีส ISSUE#38**</x:v>
      </x:c>
      <x:c r="G17" s="63" t="str">
        <x:v>High</x:v>
      </x:c>
      <x:c r="H17" s="64" t="n">
        <x:v>2</x:v>
      </x:c>
      <x:c r="I17" s="65" t="n">
        <x:v>46034</x:v>
      </x:c>
      <x:c r="J17" s="63" t="str">
        <x:v>Pech</x:v>
      </x:c>
      <x:c r="K17" s="63" t="str">
        <x:v>Open</x:v>
      </x:c>
      <x:c r="L17" s="63" t="str">
        <x:v>พี่กู่ดำเนินการ</x:v>
      </x:c>
      <x:c r="M17" s="63" t="str">
        <x:v>กำลังดำเนินการ</x:v>
      </x:c>
      <x:c r="N17" s="66" t="str">
        <x:v>High; เพิ่มข้อมูล Cate/Brand ใน Preview และตรวจกรณี Budget ไม่พอ</x:v>
      </x:c>
    </x:row>
    <x:row r="18">
      <x:c r="A18" s="61" t="str">
        <x:v>Sprint 5</x:v>
      </x:c>
      <x:c r="B18" s="62" t="n">
        <x:v>2</x:v>
      </x:c>
      <x:c r="C18" s="62" t="n">
        <x:v>52</x:v>
      </x:c>
      <x:c r="D18" s="62" t="str">
        <x:v>ISSUE</x:v>
      </x:c>
      <x:c r="E18" s="63" t="str">
        <x:v>Create Switch</x:v>
      </x:c>
      <x:c r="F18" s="63" t="str">
        <x:v>bulk upload switch รายละเอียดหน้าก่อน confirm มี com/vendor/brand/segment แต่เมื่อ upload results มีเฉพาะ com/vendor **ตัวอย่างชีส ISSUE#52**</x:v>
      </x:c>
      <x:c r="G18" s="63" t="str">
        <x:v>Medium</x:v>
      </x:c>
      <x:c r="H18" s="64" t="n">
        <x:v>3</x:v>
      </x:c>
      <x:c r="I18" s="65" t="n">
        <x:v>46062</x:v>
      </x:c>
      <x:c r="J18" s="63" t="str">
        <x:v>Pech</x:v>
      </x:c>
      <x:c r="K18" s="63" t="str">
        <x:v>Open</x:v>
      </x:c>
      <x:c r="L18" s="63" t="str">
        <x:v>พี่กู่ ดำเนินการ</x:v>
      </x:c>
      <x:c r="M18" s="63" t="str">
        <x:v>กำลังดำเนินการ</x:v>
      </x:c>
      <x:c r="N18" s="66" t="str">
        <x:v>Medium และกำลังดำเนินการ; เติมข้อมูลผลลัพธ์ Bulk Upload ให้ครบ</x:v>
      </x:c>
    </x:row>
    <x:row r="19">
      <x:c r="A19" s="61" t="str">
        <x:v>Sprint 5</x:v>
      </x:c>
      <x:c r="B19" s="62" t="n">
        <x:v>3</x:v>
      </x:c>
      <x:c r="C19" s="62" t="n">
        <x:v>8</x:v>
      </x:c>
      <x:c r="D19" s="62" t="str">
        <x:v>ADJUST</x:v>
      </x:c>
      <x:c r="E19" s="63" t="str">
        <x:v>Create Draft PO</x:v>
      </x:c>
      <x:c r="F19" s="63" t="str">
        <x:v>คีย์ข้อมูล brand , vendor สามารถให้ข้อมูล segment แสดงโดยอัติโนมัติ</x:v>
      </x:c>
      <x:c r="G19" s="63" t="str">
        <x:v>Medium</x:v>
      </x:c>
      <x:c r="H19" s="64" t="n">
        <x:v>3</x:v>
      </x:c>
      <x:c r="I19" s="65" t="n">
        <x:v>45994</x:v>
      </x:c>
      <x:c r="J19" s="63" t="str">
        <x:v>Pech</x:v>
      </x:c>
      <x:c r="K19" s="63" t="str">
        <x:v>Open</x:v>
      </x:c>
      <x:c r="L19" s="63" t="str"/>
      <x:c r="M19" s="63" t="str"/>
      <x:c r="N19" s="66" t="str">
        <x:v>Medium; เติม Segment อัตโนมัติและตรวจ Mapping</x:v>
      </x:c>
    </x:row>
    <x:row r="20">
      <x:c r="A20" s="61" t="str">
        <x:v>Sprint 6</x:v>
      </x:c>
      <x:c r="B20" s="62" t="n">
        <x:v>1</x:v>
      </x:c>
      <x:c r="C20" s="62" t="n">
        <x:v>49</x:v>
      </x:c>
      <x:c r="D20" s="62" t="str">
        <x:v>CR</x:v>
      </x:c>
      <x:c r="E20" s="63"/>
      <x:c r="F20" s="63" t="str">
        <x:v>เปลี่ยนข้อมูลทุกหน้าของ report ในส่วนที่เป็น Genral ให้เป็น number เนื่องจากมีผลเวลา pivot ข้อมูลจะไม่มา **ตัวอย่างตามชีส ISSUE#49**</x:v>
      </x:c>
      <x:c r="G20" s="63" t="str">
        <x:v>Medium</x:v>
      </x:c>
      <x:c r="H20" s="64" t="n">
        <x:v>5</x:v>
      </x:c>
      <x:c r="I20" s="65" t="n">
        <x:v>46051</x:v>
      </x:c>
      <x:c r="J20" s="63" t="str">
        <x:v>Pech</x:v>
      </x:c>
      <x:c r="K20" s="63" t="str">
        <x:v>Open</x:v>
      </x:c>
      <x:c r="L20" s="63" t="str"/>
      <x:c r="M20" s="63" t="str"/>
      <x:c r="N20" s="66" t="str">
        <x:v>Medium แต่กระทบ Report หลายหน้า; ต้อง Regression Test กว้าง</x:v>
      </x:c>
    </x:row>
    <x:row r="21">
      <x:c r="A21" s="61" t="str">
        <x:v>Sprint 6</x:v>
      </x:c>
      <x:c r="B21" s="62" t="n">
        <x:v>2</x:v>
      </x:c>
      <x:c r="C21" s="62" t="n">
        <x:v>5</x:v>
      </x:c>
      <x:c r="D21" s="62" t="str">
        <x:v>ADJUST</x:v>
      </x:c>
      <x:c r="E21" s="63" t="str">
        <x:v>Switch TXN</x:v>
      </x:c>
      <x:c r="F21" s="63" t="str">
        <x:v>แสดงข้อมูลให้พอดีหน้า และ freeze หัวข้อ</x:v>
      </x:c>
      <x:c r="G21" s="63" t="str">
        <x:v>Low</x:v>
      </x:c>
      <x:c r="H21" s="64" t="n">
        <x:v>2</x:v>
      </x:c>
      <x:c r="I21" s="65" t="n">
        <x:v>45994</x:v>
      </x:c>
      <x:c r="J21" s="63" t="str">
        <x:v>Pech</x:v>
      </x:c>
      <x:c r="K21" s="63" t="str">
        <x:v>Open</x:v>
      </x:c>
      <x:c r="L21" s="63" t="str"/>
      <x:c r="M21" s="63" t="str"/>
      <x:c r="N21" s="66" t="str">
        <x:v>Low; ปรับการแสดงผลและ Freeze Header</x:v>
      </x:c>
    </x:row>
    <x:row r="22">
      <x:c r="A22" s="61" t="str">
        <x:v>Sprint 7</x:v>
      </x:c>
      <x:c r="B22" s="62" t="n">
        <x:v>1</x:v>
      </x:c>
      <x:c r="C22" s="62" t="n">
        <x:v>6</x:v>
      </x:c>
      <x:c r="D22" s="62" t="str">
        <x:v>ADJUST</x:v>
      </x:c>
      <x:c r="E22" s="63" t="str">
        <x:v>Switch TXN</x:v>
      </x:c>
      <x:c r="F22" s="63" t="str">
        <x:v>ทุกหน้า ข้อมูลที่อยู่ในส่วนด้านล่าง เปลี่ยนเฉดสีให้อยู่ระหว่างสองเฉดตามกรอบสีแดง</x:v>
      </x:c>
      <x:c r="G22" s="63" t="str">
        <x:v>Low</x:v>
      </x:c>
      <x:c r="H22" s="64" t="n">
        <x:v>3</x:v>
      </x:c>
      <x:c r="I22" s="65" t="n">
        <x:v>45994</x:v>
      </x:c>
      <x:c r="J22" s="63" t="str">
        <x:v>Pech</x:v>
      </x:c>
      <x:c r="K22" s="63" t="str">
        <x:v>Open</x:v>
      </x:c>
      <x:c r="L22" s="63" t="str"/>
      <x:c r="M22" s="63" t="str"/>
      <x:c r="N22" s="66" t="str">
        <x:v>Low; ปรับสีหลายหน้าและตรวจความสม่ำเสมอ</x:v>
      </x:c>
    </x:row>
    <x:row r="23">
      <x:c r="A23" s="67" t="str">
        <x:v>Sprint 7</x:v>
      </x:c>
      <x:c r="B23" s="68" t="n">
        <x:v>2</x:v>
      </x:c>
      <x:c r="C23" s="68" t="n">
        <x:v>3</x:v>
      </x:c>
      <x:c r="D23" s="68" t="str">
        <x:v>ADJUST</x:v>
      </x:c>
      <x:c r="E23" s="69" t="str">
        <x:v>Create Draft PO</x:v>
      </x:c>
      <x:c r="F23" s="69" t="str">
        <x:v>Copy Amount CCY (ที่เป็น rate THB=1) มาวาง แต่ข้อมูล Amont THB แสดงข้อมูลไม่ถูกต้อง</x:v>
      </x:c>
      <x:c r="G23" s="69" t="str">
        <x:v>Low</x:v>
      </x:c>
      <x:c r="H23" s="70" t="n">
        <x:v>3</x:v>
      </x:c>
      <x:c r="I23" s="71" t="n">
        <x:v>45994</x:v>
      </x:c>
      <x:c r="J23" s="69" t="str">
        <x:v>Pech</x:v>
      </x:c>
      <x:c r="K23" s="69" t="str">
        <x:v>Open</x:v>
      </x:c>
      <x:c r="L23" s="69" t="str">
        <x:v>investigate ว่าทำได้ไหม แต่น่าจะยาก</x:v>
      </x:c>
      <x:c r="M23" s="69" t="str">
        <x:v>ต้องวิเคราะห์ก่อนทำ</x:v>
      </x:c>
      <x:c r="N23" s="72" t="str">
        <x:v>Low แต่ไม่แน่นอน; รวม Technical Spike และ Verify ไว้ใน Estimate</x:v>
      </x:c>
    </x:row>
  </x:sheetData>
  <x:mergeCells>
    <x:mergeCell ref="A1:N1"/>
    <x:mergeCell ref="A2:N2"/>
  </x:mergeCells>
  <x:conditionalFormatting sqref="G5:G23">
    <x:cfRule type="containsText" dxfId="0" priority="1" operator="containsText" text="Very High"/>
    <x:cfRule type="containsText" dxfId="1" priority="2" operator="containsText" text="High"/>
    <x:cfRule type="containsText" dxfId="2" priority="3" operator="containsText" text="Medium"/>
    <x:cfRule type="containsText" dxfId="3" priority="4" operator="containsText" text="Low"/>
  </x:conditionalFormatting>
  <x:pageMargins left="0.7" right="0.7" top="0.75" bottom="0.75" header="0.3" footer="0.3"/>
  <x:tableParts count="1">
    <x:tablePart xmlns:r="http://schemas.openxmlformats.org/officeDocument/2006/relationships" r:id="Rc82cd3b36dca4f7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8" hidden="0" customWidth="1"/>
    <x:col min="4" max="4" width="54" hidden="0" customWidth="1"/>
    <x:col min="5" max="5" width="13" hidden="0" customWidth="1"/>
    <x:col min="6" max="6" width="12" hidden="0" customWidth="1"/>
    <x:col min="7" max="7" width="52" hidden="0" customWidth="1"/>
    <x:col min="8" max="8" width="45" hidden="0" customWidth="1"/>
    <x:col min="9" max="9" width="48" hidden="0" customWidth="1"/>
  </x:cols>
  <x:sheetData>
    <x:row r="1">
      <x:c r="A1" s="22" t="str">
        <x:v>TBC &amp; Decisions Required</x:v>
      </x:c>
      <x:c r="B1" s="22"/>
      <x:c r="C1" s="22"/>
      <x:c r="D1" s="22"/>
      <x:c r="E1" s="22"/>
      <x:c r="F1" s="22"/>
      <x:c r="G1" s="22"/>
      <x:c r="H1" s="22"/>
      <x:c r="I1" s="22"/>
    </x:row>
    <x:row r="3">
      <x:c r="A3" s="12" t="str">
        <x:v>#ISSUE</x:v>
      </x:c>
      <x:c r="B3" s="13" t="str">
        <x:v>Type</x:v>
      </x:c>
      <x:c r="C3" s="13" t="str">
        <x:v>Page</x:v>
      </x:c>
      <x:c r="D3" s="13" t="str">
        <x:v>Detail</x:v>
      </x:c>
      <x:c r="E3" s="13" t="str">
        <x:v>Priority</x:v>
      </x:c>
      <x:c r="F3" s="13" t="str">
        <x:v>Status</x:v>
      </x:c>
      <x:c r="G3" s="13" t="str">
        <x:v>Remark</x:v>
      </x:c>
      <x:c r="H3" s="13" t="str">
        <x:v>Decision needed</x:v>
      </x:c>
      <x:c r="I3" s="14" t="str">
        <x:v>Next action</x:v>
      </x:c>
    </x:row>
    <x:row r="4">
      <x:c r="A4" s="30" t="n">
        <x:v>43</x:v>
      </x:c>
      <x:c r="B4" s="30" t="str">
        <x:v>CR</x:v>
      </x:c>
      <x:c r="C4" s="31" t="str">
        <x:v>Actual PO</x:v>
      </x:c>
      <x:c r="D4" s="31" t="str">
        <x:v>ตรงช่อง Remark ให้ดึงข้อมูลเหมือนช่อง Remark ในหน้า Draft PO
- เช่นในหน้า draft po remark ว่า PO OVER แต่ในหน้า actual po ช่อง remark ไม่มี **ตัวอย่างชีส ISSUE#43**</x:v>
      </x:c>
      <x:c r="E4" s="31" t="str">
        <x:v>Medium</x:v>
      </x:c>
      <x:c r="F4" s="31" t="str">
        <x:v>TBC</x:v>
      </x:c>
      <x:c r="G4" s="31" t="str">
        <x:v>เพชรกับพี่นิดจะต้อง Confirm ว่า Data ที่มาจาก SAP จะต้องใช้อะไรในการแยกว่าเป็น PO Over</x:v>
      </x:c>
      <x:c r="H4" s="31" t="str">
        <x:v>ยืนยันหลักเกณฑ์แยก PO OVER จากข้อมูล SAP</x:v>
      </x:c>
      <x:c r="I4" s="31" t="str">
        <x:v>Owner นัดยืนยัน Requirement และกำหนด Priority ก่อนนำเข้า Sprint</x:v>
      </x:c>
    </x:row>
    <x:row r="5">
      <x:c r="A5" s="30" t="n">
        <x:v>67</x:v>
      </x:c>
      <x:c r="B5" s="30" t="str">
        <x:v>ISSUE</x:v>
      </x:c>
      <x:c r="C5" s="31" t="str">
        <x:v>Match Actual PO</x:v>
      </x:c>
      <x:c r="D5" s="31" t="str">
        <x:v>แก้ไขหัวข้อในช่อง actual po date เป็น delivery date **ตัวอย่างชีส67**</x:v>
      </x:c>
      <x:c r="E5" s="31" t="str">
        <x:v>Unspecified</x:v>
      </x:c>
      <x:c r="F5" s="31" t="str">
        <x:v>TBC</x:v>
      </x:c>
      <x:c r="G5" s="31" t="str">
        <x:v>เพชรกับพี่ี่นิดจะมา Confirm ว่าจะเอา Actual PO Date ไหม</x:v>
      </x:c>
      <x:c r="H5" s="31" t="str">
        <x:v>ยืนยันว่าจะใช้ Actual PO Date หรือ Delivery Date</x:v>
      </x:c>
      <x:c r="I5" s="31" t="str">
        <x:v>Owner นัดยืนยัน Requirement และกำหนด Priority ก่อนนำเข้า Sprint</x:v>
      </x:c>
    </x:row>
  </x:sheetData>
  <x:mergeCells>
    <x:mergeCell ref="A1:I1"/>
  </x:mergeCells>
  <x:pageMargins left="0.7" right="0.7" top="0.75" bottom="0.75" header="0.3" footer="0.3"/>
  <x:tableParts count="1">
    <x:tablePart xmlns:r="http://schemas.openxmlformats.org/officeDocument/2006/relationships" r:id="Ref8f2eff20cc4a6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11" hidden="0" customWidth="1"/>
    <x:col min="3" max="3" width="20" hidden="0" customWidth="1"/>
    <x:col min="4" max="4" width="58" hidden="0" customWidth="1"/>
    <x:col min="5" max="5" width="13" hidden="0" customWidth="1"/>
    <x:col min="6" max="6" width="14" hidden="0" customWidth="1"/>
    <x:col min="7" max="7" width="12" hidden="0" customWidth="1"/>
    <x:col min="8" max="8" width="13" hidden="0" customWidth="1"/>
    <x:col min="9" max="9" width="14" hidden="0" customWidth="1"/>
    <x:col min="10" max="10" width="55" hidden="0" customWidth="1"/>
    <x:col min="11" max="11" width="22" hidden="0" customWidth="1"/>
    <x:col min="12" max="12" width="24" hidden="0" customWidth="1"/>
    <x:col min="13" max="13" width="12" hidden="0" customWidth="1"/>
  </x:cols>
  <x:sheetData>
    <x:row r="1">
      <x:c r="A1" s="73" t="str">
        <x:v>#ISSUE</x:v>
      </x:c>
      <x:c r="B1" s="74" t="str">
        <x:v>Type</x:v>
      </x:c>
      <x:c r="C1" s="74" t="str">
        <x:v>Page</x:v>
      </x:c>
      <x:c r="D1" s="74" t="str">
        <x:v>Detail</x:v>
      </x:c>
      <x:c r="E1" s="74" t="str">
        <x:v>Priority</x:v>
      </x:c>
      <x:c r="F1" s="74" t="str">
        <x:v>Created date</x:v>
      </x:c>
      <x:c r="G1" s="74" t="str">
        <x:v>Created by</x:v>
      </x:c>
      <x:c r="H1" s="74" t="str">
        <x:v>Status</x:v>
      </x:c>
      <x:c r="I1" s="74" t="str">
        <x:v>Resolved date</x:v>
      </x:c>
      <x:c r="J1" s="74" t="str">
        <x:v>Action Log/Remark</x:v>
      </x:c>
      <x:c r="K1" s="74" t="str">
        <x:v>Remark signal</x:v>
      </x:c>
      <x:c r="L1" s="74" t="str">
        <x:v>Planning disposition</x:v>
      </x:c>
      <x:c r="M1" s="75" t="str">
        <x:v>Priority rank</x:v>
      </x:c>
    </x:row>
    <x:row r="2">
      <x:c r="A2" s="61" t="n">
        <x:v>1</x:v>
      </x:c>
      <x:c r="B2" s="62" t="str">
        <x:v>ADJUST</x:v>
      </x:c>
      <x:c r="C2" s="63" t="str">
        <x:v>Match Actual PO</x:v>
      </x:c>
      <x:c r="D2" s="63" t="str">
        <x:v>มีรายการ GPO เข้ามาใหน้า match PO
** ปัจจุบันข้อมูลเส้น API ที่ BBIK ทำมาไม่มีข้อมูลว่าเป็น GPO ต้องขอให้ส่ง Status มาด้วยแยกเป็น GPO หรือ Non GPO</x:v>
      </x:c>
      <x:c r="E2" s="63" t="str">
        <x:v>Unspecified</x:v>
      </x:c>
      <x:c r="F2" s="65" t="n">
        <x:v>45994</x:v>
      </x:c>
      <x:c r="G2" s="63" t="str">
        <x:v>Pech</x:v>
      </x:c>
      <x:c r="H2" s="63" t="str">
        <x:v>Done</x:v>
      </x:c>
      <x:c r="I2" s="65" t="n">
        <x:v>45995</x:v>
      </x:c>
      <x:c r="J2" s="63" t="str"/>
      <x:c r="K2" s="63" t="str"/>
      <x:c r="L2" s="63" t="str">
        <x:f>IF(OR(H2="Done",H2="Cancelled"),"Excluded - "&amp;H2,IF(H2="TBC","TBC / Confirm",IFERROR(VLOOKUP(E2,'Planning Rules'!$A$4:$C$8,3,FALSE),"Backlog - Set Priority")))</x:f>
        <x:v>Excluded - Done</x:v>
      </x:c>
      <x:c r="M2" s="76" t="n">
        <x:f>IFERROR(VLOOKUP(E2,'Planning Rules'!$A$4:$C$8,2,FALSE),5)</x:f>
        <x:v>5</x:v>
      </x:c>
    </x:row>
    <x:row r="3">
      <x:c r="A3" s="61" t="n">
        <x:v>2</x:v>
      </x:c>
      <x:c r="B3" s="62" t="str">
        <x:v>ADJUST</x:v>
      </x:c>
      <x:c r="C3" s="63" t="str">
        <x:v>Create Switch</x:v>
      </x:c>
      <x:c r="D3" s="63" t="str">
        <x:v>Copy วาง Amount THB ไม่ได้</x:v>
      </x:c>
      <x:c r="E3" s="63" t="str">
        <x:v>Low</x:v>
      </x:c>
      <x:c r="F3" s="65" t="n">
        <x:v>45994</x:v>
      </x:c>
      <x:c r="G3" s="63" t="str">
        <x:v>Pech</x:v>
      </x:c>
      <x:c r="H3" s="63" t="str">
        <x:v>Cancelled</x:v>
      </x:c>
      <x:c r="I3" s="65"/>
      <x:c r="J3" s="63" t="str"/>
      <x:c r="K3" s="63" t="str"/>
      <x:c r="L3" s="63" t="str">
        <x:f>IF(OR(H3="Done",H3="Cancelled"),"Excluded - "&amp;H3,IF(H3="TBC","TBC / Confirm",IFERROR(VLOOKUP(E3,'Planning Rules'!$A$4:$C$8,3,FALSE),"Backlog - Set Priority")))</x:f>
        <x:v>Excluded - Cancelled</x:v>
      </x:c>
      <x:c r="M3" s="76" t="n">
        <x:f>IFERROR(VLOOKUP(E3,'Planning Rules'!$A$4:$C$8,2,FALSE),5)</x:f>
        <x:v>4</x:v>
      </x:c>
    </x:row>
    <x:row r="4">
      <x:c r="A4" s="61" t="n">
        <x:v>3</x:v>
      </x:c>
      <x:c r="B4" s="62" t="str">
        <x:v>ADJUST</x:v>
      </x:c>
      <x:c r="C4" s="63" t="str">
        <x:v>Create Draft PO</x:v>
      </x:c>
      <x:c r="D4" s="63" t="str">
        <x:v>Copy Amount CCY (ที่เป็น rate THB=1) มาวาง แต่ข้อมูล Amont THB แสดงข้อมูลไม่ถูกต้อง</x:v>
      </x:c>
      <x:c r="E4" s="63" t="str">
        <x:v>Low</x:v>
      </x:c>
      <x:c r="F4" s="65" t="n">
        <x:v>45994</x:v>
      </x:c>
      <x:c r="G4" s="63" t="str">
        <x:v>Pech</x:v>
      </x:c>
      <x:c r="H4" s="63"/>
      <x:c r="I4" s="65"/>
      <x:c r="J4" s="63" t="str">
        <x:v>investigate ว่าทำได้ไหม แต่น่าจะยาก</x:v>
      </x:c>
      <x:c r="K4" s="63" t="str">
        <x:v>ต้องวิเคราะห์ก่อนทำ</x:v>
      </x:c>
      <x:c r="L4" s="63" t="str">
        <x:f>IF(OR(H4="Done",H4="Cancelled"),"Excluded - "&amp;H4,IF(H4="TBC","TBC / Confirm",IFERROR(VLOOKUP(E4,'Planning Rules'!$A$4:$C$8,3,FALSE),"Backlog - Set Priority")))</x:f>
        <x:v>Sprint 6-7</x:v>
      </x:c>
      <x:c r="M4" s="76" t="n">
        <x:f>IFERROR(VLOOKUP(E4,'Planning Rules'!$A$4:$C$8,2,FALSE),5)</x:f>
        <x:v>4</x:v>
      </x:c>
    </x:row>
    <x:row r="5">
      <x:c r="A5" s="61" t="n">
        <x:v>5</x:v>
      </x:c>
      <x:c r="B5" s="62" t="str">
        <x:v>ADJUST</x:v>
      </x:c>
      <x:c r="C5" s="63" t="str">
        <x:v>Switch TXN</x:v>
      </x:c>
      <x:c r="D5" s="63" t="str">
        <x:v>แสดงข้อมูลให้พอดีหน้า และ freeze หัวข้อ</x:v>
      </x:c>
      <x:c r="E5" s="63" t="str">
        <x:v>Low</x:v>
      </x:c>
      <x:c r="F5" s="65" t="n">
        <x:v>45994</x:v>
      </x:c>
      <x:c r="G5" s="63" t="str">
        <x:v>Pech</x:v>
      </x:c>
      <x:c r="H5" s="63"/>
      <x:c r="I5" s="65"/>
      <x:c r="J5" s="63" t="str"/>
      <x:c r="K5" s="63" t="str"/>
      <x:c r="L5" s="63" t="str">
        <x:f>IF(OR(H5="Done",H5="Cancelled"),"Excluded - "&amp;H5,IF(H5="TBC","TBC / Confirm",IFERROR(VLOOKUP(E5,'Planning Rules'!$A$4:$C$8,3,FALSE),"Backlog - Set Priority")))</x:f>
        <x:v>Sprint 6-7</x:v>
      </x:c>
      <x:c r="M5" s="76" t="n">
        <x:f>IFERROR(VLOOKUP(E5,'Planning Rules'!$A$4:$C$8,2,FALSE),5)</x:f>
        <x:v>4</x:v>
      </x:c>
    </x:row>
    <x:row r="6">
      <x:c r="A6" s="61" t="n">
        <x:v>6</x:v>
      </x:c>
      <x:c r="B6" s="62" t="str">
        <x:v>ADJUST</x:v>
      </x:c>
      <x:c r="C6" s="63" t="str">
        <x:v>Switch TXN</x:v>
      </x:c>
      <x:c r="D6" s="63" t="str">
        <x:v>ทุกหน้า ข้อมูลที่อยู่ในส่วนด้านล่าง เปลี่ยนเฉดสีให้อยู่ระหว่างสองเฉดตามกรอบสีแดง</x:v>
      </x:c>
      <x:c r="E6" s="63" t="str">
        <x:v>Low</x:v>
      </x:c>
      <x:c r="F6" s="65" t="n">
        <x:v>45994</x:v>
      </x:c>
      <x:c r="G6" s="63" t="str">
        <x:v>Pech</x:v>
      </x:c>
      <x:c r="H6" s="63"/>
      <x:c r="I6" s="65"/>
      <x:c r="J6" s="63" t="str"/>
      <x:c r="K6" s="63" t="str"/>
      <x:c r="L6" s="63" t="str">
        <x:f>IF(OR(H6="Done",H6="Cancelled"),"Excluded - "&amp;H6,IF(H6="TBC","TBC / Confirm",IFERROR(VLOOKUP(E6,'Planning Rules'!$A$4:$C$8,3,FALSE),"Backlog - Set Priority")))</x:f>
        <x:v>Sprint 6-7</x:v>
      </x:c>
      <x:c r="M6" s="76" t="n">
        <x:f>IFERROR(VLOOKUP(E6,'Planning Rules'!$A$4:$C$8,2,FALSE),5)</x:f>
        <x:v>4</x:v>
      </x:c>
    </x:row>
    <x:row r="7">
      <x:c r="A7" s="61" t="n">
        <x:v>7</x:v>
      </x:c>
      <x:c r="B7" s="62" t="str">
        <x:v>ISSUE</x:v>
      </x:c>
      <x:c r="C7" s="63" t="str">
        <x:v>Create Draft PO</x:v>
      </x:c>
      <x:c r="D7" s="63" t="str">
        <x:v>บันทึก Draft PO no. ซ้ำกันไม่ได้</x:v>
      </x:c>
      <x:c r="E7" s="63" t="str">
        <x:v>Unspecified</x:v>
      </x:c>
      <x:c r="F7" s="65" t="n">
        <x:v>45994</x:v>
      </x:c>
      <x:c r="G7" s="63" t="str">
        <x:v>Nid</x:v>
      </x:c>
      <x:c r="H7" s="63" t="str">
        <x:v>Done</x:v>
      </x:c>
      <x:c r="I7" s="65" t="n">
        <x:v>45994</x:v>
      </x:c>
      <x:c r="J7" s="63" t="str"/>
      <x:c r="K7" s="63" t="str"/>
      <x:c r="L7" s="63" t="str">
        <x:f>IF(OR(H7="Done",H7="Cancelled"),"Excluded - "&amp;H7,IF(H7="TBC","TBC / Confirm",IFERROR(VLOOKUP(E7,'Planning Rules'!$A$4:$C$8,3,FALSE),"Backlog - Set Priority")))</x:f>
        <x:v>Excluded - Done</x:v>
      </x:c>
      <x:c r="M7" s="76" t="n">
        <x:f>IFERROR(VLOOKUP(E7,'Planning Rules'!$A$4:$C$8,2,FALSE),5)</x:f>
        <x:v>5</x:v>
      </x:c>
    </x:row>
    <x:row r="8">
      <x:c r="A8" s="61" t="n">
        <x:v>8</x:v>
      </x:c>
      <x:c r="B8" s="62" t="str">
        <x:v>ADJUST</x:v>
      </x:c>
      <x:c r="C8" s="63" t="str">
        <x:v>Create Draft PO</x:v>
      </x:c>
      <x:c r="D8" s="63" t="str">
        <x:v>คีย์ข้อมูล brand , vendor สามารถให้ข้อมูล segment แสดงโดยอัติโนมัติ</x:v>
      </x:c>
      <x:c r="E8" s="63" t="str">
        <x:v>Medium</x:v>
      </x:c>
      <x:c r="F8" s="65" t="n">
        <x:v>45994</x:v>
      </x:c>
      <x:c r="G8" s="63" t="str">
        <x:v>Pech</x:v>
      </x:c>
      <x:c r="H8" s="63"/>
      <x:c r="I8" s="65"/>
      <x:c r="J8" s="63" t="str"/>
      <x:c r="K8" s="63" t="str"/>
      <x:c r="L8" s="63" t="str">
        <x:f>IF(OR(H8="Done",H8="Cancelled"),"Excluded - "&amp;H8,IF(H8="TBC","TBC / Confirm",IFERROR(VLOOKUP(E8,'Planning Rules'!$A$4:$C$8,3,FALSE),"Backlog - Set Priority")))</x:f>
        <x:v>Sprint 5-6</x:v>
      </x:c>
      <x:c r="M8" s="76" t="n">
        <x:f>IFERROR(VLOOKUP(E8,'Planning Rules'!$A$4:$C$8,2,FALSE),5)</x:f>
        <x:v>3</x:v>
      </x:c>
    </x:row>
    <x:row r="9">
      <x:c r="A9" s="61" t="n">
        <x:v>9</x:v>
      </x:c>
      <x:c r="B9" s="62" t="str">
        <x:v>CR</x:v>
      </x:c>
      <x:c r="C9" s="63" t="str">
        <x:v>Draft PO</x:v>
      </x:c>
      <x:c r="D9" s="63" t="str">
        <x:v>ในหมวดที่ให้เลือก สามารถ fiter เลือกหลาย cate / segment / company / brand / vendor / month / year</x:v>
      </x:c>
      <x:c r="E9" s="63" t="str">
        <x:v>High</x:v>
      </x:c>
      <x:c r="F9" s="65" t="n">
        <x:v>45995</x:v>
      </x:c>
      <x:c r="G9" s="63" t="str">
        <x:v>Pech</x:v>
      </x:c>
      <x:c r="H9" s="63"/>
      <x:c r="I9" s="65"/>
      <x:c r="J9" s="63" t="str"/>
      <x:c r="K9" s="63" t="str"/>
      <x:c r="L9" s="63" t="str">
        <x:f>IF(OR(H9="Done",H9="Cancelled"),"Excluded - "&amp;H9,IF(H9="TBC","TBC / Confirm",IFERROR(VLOOKUP(E9,'Planning Rules'!$A$4:$C$8,3,FALSE),"Backlog - Set Priority")))</x:f>
        <x:v>Sprint 3-5</x:v>
      </x:c>
      <x:c r="M9" s="76" t="n">
        <x:f>IFERROR(VLOOKUP(E9,'Planning Rules'!$A$4:$C$8,2,FALSE),5)</x:f>
        <x:v>2</x:v>
      </x:c>
    </x:row>
    <x:row r="10">
      <x:c r="A10" s="61" t="n">
        <x:v>10</x:v>
      </x:c>
      <x:c r="B10" s="62" t="str">
        <x:v>ADJUST</x:v>
      </x:c>
      <x:c r="C10" s="63" t="str">
        <x:v>Draft PO</x:v>
      </x:c>
      <x:c r="D10" s="63" t="str">
        <x:v>สามารถ fiter Draft po date</x:v>
      </x:c>
      <x:c r="E10" s="63" t="str">
        <x:v>Medium</x:v>
      </x:c>
      <x:c r="F10" s="65" t="n">
        <x:v>45995</x:v>
      </x:c>
      <x:c r="G10" s="63" t="str">
        <x:v>Pech</x:v>
      </x:c>
      <x:c r="H10" s="63" t="str">
        <x:v>Cancelled</x:v>
      </x:c>
      <x:c r="I10" s="65"/>
      <x:c r="J10" s="63" t="str"/>
      <x:c r="K10" s="63" t="str"/>
      <x:c r="L10" s="63" t="str">
        <x:f>IF(OR(H10="Done",H10="Cancelled"),"Excluded - "&amp;H10,IF(H10="TBC","TBC / Confirm",IFERROR(VLOOKUP(E10,'Planning Rules'!$A$4:$C$8,3,FALSE),"Backlog - Set Priority")))</x:f>
        <x:v>Excluded - Cancelled</x:v>
      </x:c>
      <x:c r="M10" s="76" t="n">
        <x:f>IFERROR(VLOOKUP(E10,'Planning Rules'!$A$4:$C$8,2,FALSE),5)</x:f>
        <x:v>3</x:v>
      </x:c>
    </x:row>
    <x:row r="11">
      <x:c r="A11" s="61" t="n">
        <x:v>11</x:v>
      </x:c>
      <x:c r="B11" s="62" t="str">
        <x:v>ISSUE</x:v>
      </x:c>
      <x:c r="C11" s="63" t="str">
        <x:v>Draft PO</x:v>
      </x:c>
      <x:c r="D11" s="63" t="str">
        <x:v>edit รายการ แล้วกด save Status ขึ้น edit แต่รายการไม่เปลี่ยนตามที่เรา edit</x:v>
      </x:c>
      <x:c r="E11" s="63" t="str">
        <x:v>Unspecified</x:v>
      </x:c>
      <x:c r="F11" s="65" t="n">
        <x:v>45995</x:v>
      </x:c>
      <x:c r="G11" s="63" t="str">
        <x:v>Pech</x:v>
      </x:c>
      <x:c r="H11" s="63" t="str">
        <x:v>Done</x:v>
      </x:c>
      <x:c r="I11" s="65" t="n">
        <x:v>45995</x:v>
      </x:c>
      <x:c r="J11" s="63" t="str"/>
      <x:c r="K11" s="63" t="str"/>
      <x:c r="L11" s="63" t="str">
        <x:f>IF(OR(H11="Done",H11="Cancelled"),"Excluded - "&amp;H11,IF(H11="TBC","TBC / Confirm",IFERROR(VLOOKUP(E11,'Planning Rules'!$A$4:$C$8,3,FALSE),"Backlog - Set Priority")))</x:f>
        <x:v>Excluded - Done</x:v>
      </x:c>
      <x:c r="M11" s="76" t="n">
        <x:f>IFERROR(VLOOKUP(E11,'Planning Rules'!$A$4:$C$8,2,FALSE),5)</x:f>
        <x:v>5</x:v>
      </x:c>
    </x:row>
    <x:row r="12">
      <x:c r="A12" s="61" t="n">
        <x:v>12</x:v>
      </x:c>
      <x:c r="B12" s="62" t="str">
        <x:v>CR</x:v>
      </x:c>
      <x:c r="C12" s="63" t="str">
        <x:v>OTB Remaining</x:v>
      </x:c>
      <x:c r="D12" s="63" t="str">
        <x:v>เพิ่มบรรทัด Total Actual + Draft PO</x:v>
      </x:c>
      <x:c r="E12" s="63" t="str">
        <x:v>High</x:v>
      </x:c>
      <x:c r="F12" s="65" t="n">
        <x:v>46007</x:v>
      </x:c>
      <x:c r="G12" s="63" t="str">
        <x:v>Pech</x:v>
      </x:c>
      <x:c r="H12" s="63"/>
      <x:c r="I12" s="65"/>
      <x:c r="J12" s="63" t="str">
        <x:v>พี่กู่ดำเนินการ</x:v>
      </x:c>
      <x:c r="K12" s="63" t="str">
        <x:v>กำลังดำเนินการ</x:v>
      </x:c>
      <x:c r="L12" s="63" t="str">
        <x:f>IF(OR(H12="Done",H12="Cancelled"),"Excluded - "&amp;H12,IF(H12="TBC","TBC / Confirm",IFERROR(VLOOKUP(E12,'Planning Rules'!$A$4:$C$8,3,FALSE),"Backlog - Set Priority")))</x:f>
        <x:v>Sprint 3-5</x:v>
      </x:c>
      <x:c r="M12" s="76" t="n">
        <x:f>IFERROR(VLOOKUP(E12,'Planning Rules'!$A$4:$C$8,2,FALSE),5)</x:f>
        <x:v>2</x:v>
      </x:c>
    </x:row>
    <x:row r="13">
      <x:c r="A13" s="61" t="n">
        <x:v>13</x:v>
      </x:c>
      <x:c r="B13" s="62" t="str">
        <x:v>ISSUE</x:v>
      </x:c>
      <x:c r="C13" s="63" t="str">
        <x:v>Create Draft PO</x:v>
      </x:c>
      <x:c r="D13" s="63" t="str">
        <x:v>1. upload ไฟล์ Draft PO จังหวะตอนหน้า preview data ข้อมูลผ่านหมด (ไม่ติด budget) แต่พอกด submit แล้วเด้งไปอีกหน้าขึ้น error (ติด budget)
2. กดกากบาทออกแล้วข้อมูลที่ budget เพียงพอไปขึ้นในหน้า Draft PO แล้ว ข้อมูลควรจะยังไม่ไปเกิดเป็น Draft PO</x:v>
      </x:c>
      <x:c r="E13" s="63" t="str">
        <x:v>Unspecified</x:v>
      </x:c>
      <x:c r="F13" s="65" t="n">
        <x:v>46007</x:v>
      </x:c>
      <x:c r="G13" s="63" t="str">
        <x:v>Pech</x:v>
      </x:c>
      <x:c r="H13" s="63" t="str">
        <x:v>Done</x:v>
      </x:c>
      <x:c r="I13" s="65"/>
      <x:c r="J13" s="63" t="str">
        <x:v>ึ5/1/26 - ขอ Folllow-up ว่ายังมี Event นี้อยู่ไหม ถึงค่อยปิดเคสนี้ได้</x:v>
      </x:c>
      <x:c r="K13" s="63" t="str"/>
      <x:c r="L13" s="63" t="str">
        <x:f>IF(OR(H13="Done",H13="Cancelled"),"Excluded - "&amp;H13,IF(H13="TBC","TBC / Confirm",IFERROR(VLOOKUP(E13,'Planning Rules'!$A$4:$C$8,3,FALSE),"Backlog - Set Priority")))</x:f>
        <x:v>Excluded - Done</x:v>
      </x:c>
      <x:c r="M13" s="76" t="n">
        <x:f>IFERROR(VLOOKUP(E13,'Planning Rules'!$A$4:$C$8,2,FALSE),5)</x:f>
        <x:v>5</x:v>
      </x:c>
    </x:row>
    <x:row r="14">
      <x:c r="A14" s="61" t="n">
        <x:v>14</x:v>
      </x:c>
      <x:c r="B14" s="62" t="str">
        <x:v>CR</x:v>
      </x:c>
      <x:c r="C14" s="63" t="str">
        <x:v>Match Actual PO</x:v>
      </x:c>
      <x:c r="D14" s="63" t="str">
        <x:v>เปลี่ยนสี
1. ยอดที่ตรงกัน 100% (สีดำล้วน) &gt; เปลี่ยนเป็นแถบสีเขียว
2. ยอดที่ตัวหนังสีเหลือง &gt; เปลี่ยนเป็นตัวหนังสือสีดำ และเป็นแถบสีเหลือง
และสามารถ filter เพื่อเลือกแถบสีได้</x:v>
      </x:c>
      <x:c r="E14" s="63" t="str">
        <x:v>Low</x:v>
      </x:c>
      <x:c r="F14" s="65" t="n">
        <x:v>46007</x:v>
      </x:c>
      <x:c r="G14" s="63" t="str">
        <x:v>Pech</x:v>
      </x:c>
      <x:c r="H14" s="63" t="str">
        <x:v>Done</x:v>
      </x:c>
      <x:c r="I14" s="65"/>
      <x:c r="J14" s="63" t="str"/>
      <x:c r="K14" s="63" t="str"/>
      <x:c r="L14" s="63" t="str">
        <x:f>IF(OR(H14="Done",H14="Cancelled"),"Excluded - "&amp;H14,IF(H14="TBC","TBC / Confirm",IFERROR(VLOOKUP(E14,'Planning Rules'!$A$4:$C$8,3,FALSE),"Backlog - Set Priority")))</x:f>
        <x:v>Excluded - Done</x:v>
      </x:c>
      <x:c r="M14" s="76" t="n">
        <x:f>IFERROR(VLOOKUP(E14,'Planning Rules'!$A$4:$C$8,2,FALSE),5)</x:f>
        <x:v>4</x:v>
      </x:c>
    </x:row>
    <x:row r="15">
      <x:c r="A15" s="61" t="n">
        <x:v>15</x:v>
      </x:c>
      <x:c r="B15" s="62" t="str">
        <x:v>CR</x:v>
      </x:c>
      <x:c r="C15" s="63" t="str">
        <x:v>OTB Remaining</x:v>
      </x:c>
      <x:c r="D15" s="63" t="str">
        <x:v>ในหมวดที่ให้เลือก สามารถ fiter เลือกหลาย cate / segment / company / brand / vendor / month / year</x:v>
      </x:c>
      <x:c r="E15" s="63" t="str">
        <x:v>High</x:v>
      </x:c>
      <x:c r="F15" s="65" t="str">
        <x:v>19/12/25</x:v>
      </x:c>
      <x:c r="G15" s="63" t="str">
        <x:v>Pech</x:v>
      </x:c>
      <x:c r="H15" s="63"/>
      <x:c r="I15" s="65"/>
      <x:c r="J15" s="63" t="str"/>
      <x:c r="K15" s="63" t="str"/>
      <x:c r="L15" s="63" t="str">
        <x:f>IF(OR(H15="Done",H15="Cancelled"),"Excluded - "&amp;H15,IF(H15="TBC","TBC / Confirm",IFERROR(VLOOKUP(E15,'Planning Rules'!$A$4:$C$8,3,FALSE),"Backlog - Set Priority")))</x:f>
        <x:v>Sprint 3-5</x:v>
      </x:c>
      <x:c r="M15" s="76" t="n">
        <x:f>IFERROR(VLOOKUP(E15,'Planning Rules'!$A$4:$C$8,2,FALSE),5)</x:f>
        <x:v>2</x:v>
      </x:c>
    </x:row>
    <x:row r="16">
      <x:c r="A16" s="61" t="n">
        <x:v>16</x:v>
      </x:c>
      <x:c r="B16" s="62" t="str">
        <x:v>CR</x:v>
      </x:c>
      <x:c r="C16" s="63" t="str">
        <x:v>Draft OTB</x:v>
      </x:c>
      <x:c r="D16" s="63" t="str">
        <x:v>ในหมวดที่ให้เลือก สามารถ fiter เลือกหลาย cate / segment / company / brand / vendor / month / year</x:v>
      </x:c>
      <x:c r="E16" s="63" t="str">
        <x:v>High</x:v>
      </x:c>
      <x:c r="F16" s="65" t="str">
        <x:v>19/12/25</x:v>
      </x:c>
      <x:c r="G16" s="63" t="str">
        <x:v>Pech</x:v>
      </x:c>
      <x:c r="H16" s="63"/>
      <x:c r="I16" s="65"/>
      <x:c r="J16" s="63" t="str">
        <x:v>หัวข้อในส่วนของ Page นี้เหมือนเคยแจ้งไปตอน UAT ที่เป็น CR ไม่แน่ใจว่าลง log หรือยังแต่ลงไว้ให้ก่อนค่ะ</x:v>
      </x:c>
      <x:c r="K16" s="63" t="str">
        <x:v>ต้องยืนยัน/ตัดสินใจ</x:v>
      </x:c>
      <x:c r="L16" s="63" t="str">
        <x:f>IF(OR(H16="Done",H16="Cancelled"),"Excluded - "&amp;H16,IF(H16="TBC","TBC / Confirm",IFERROR(VLOOKUP(E16,'Planning Rules'!$A$4:$C$8,3,FALSE),"Backlog - Set Priority")))</x:f>
        <x:v>Sprint 3-5</x:v>
      </x:c>
      <x:c r="M16" s="76" t="n">
        <x:f>IFERROR(VLOOKUP(E16,'Planning Rules'!$A$4:$C$8,2,FALSE),5)</x:f>
        <x:v>2</x:v>
      </x:c>
    </x:row>
    <x:row r="17">
      <x:c r="A17" s="61" t="n">
        <x:v>17</x:v>
      </x:c>
      <x:c r="B17" s="62" t="str">
        <x:v>CR</x:v>
      </x:c>
      <x:c r="C17" s="63" t="str">
        <x:v>Approved OTB</x:v>
      </x:c>
      <x:c r="D17" s="63" t="str">
        <x:v>ในหมวดที่ให้เลือก สามารถ fiter เลือกหลาย cate / segment / company / brand / vendor / month / year</x:v>
      </x:c>
      <x:c r="E17" s="63" t="str">
        <x:v>High</x:v>
      </x:c>
      <x:c r="F17" s="65" t="str">
        <x:v>19/12/25</x:v>
      </x:c>
      <x:c r="G17" s="63" t="str">
        <x:v>Pech</x:v>
      </x:c>
      <x:c r="H17" s="63"/>
      <x:c r="I17" s="65"/>
      <x:c r="J17" s="63" t="str">
        <x:v>หัวข้อในส่วนของ Page นี้เหมือนเคยแจ้งไปตอน UAT ที่เป็น CR ไม่แน่ใจว่าลง log หรือยังแต่ลงไว้ให้ก่อนค่ะ</x:v>
      </x:c>
      <x:c r="K17" s="63" t="str">
        <x:v>ต้องยืนยัน/ตัดสินใจ</x:v>
      </x:c>
      <x:c r="L17" s="63" t="str">
        <x:f>IF(OR(H17="Done",H17="Cancelled"),"Excluded - "&amp;H17,IF(H17="TBC","TBC / Confirm",IFERROR(VLOOKUP(E17,'Planning Rules'!$A$4:$C$8,3,FALSE),"Backlog - Set Priority")))</x:f>
        <x:v>Sprint 3-5</x:v>
      </x:c>
      <x:c r="M17" s="76" t="n">
        <x:f>IFERROR(VLOOKUP(E17,'Planning Rules'!$A$4:$C$8,2,FALSE),5)</x:f>
        <x:v>2</x:v>
      </x:c>
    </x:row>
    <x:row r="18">
      <x:c r="A18" s="61" t="n">
        <x:v>18</x:v>
      </x:c>
      <x:c r="B18" s="62" t="str">
        <x:v>ISSUE</x:v>
      </x:c>
      <x:c r="C18" s="63" t="str">
        <x:v>Report</x:v>
      </x:c>
      <x:c r="D18" s="63" t="str">
        <x:v>Excel Report Actual ดึง report มาดูแล้ว ค่าใน Field Company หายไป</x:v>
      </x:c>
      <x:c r="E18" s="63" t="str">
        <x:v>Unspecified</x:v>
      </x:c>
      <x:c r="F18" s="65" t="n">
        <x:v>46026</x:v>
      </x:c>
      <x:c r="G18" s="63" t="str">
        <x:v>Pech</x:v>
      </x:c>
      <x:c r="H18" s="63" t="str">
        <x:v>Done</x:v>
      </x:c>
      <x:c r="I18" s="65"/>
      <x:c r="J18" s="63" t="str"/>
      <x:c r="K18" s="63" t="str"/>
      <x:c r="L18" s="63" t="str">
        <x:f>IF(OR(H18="Done",H18="Cancelled"),"Excluded - "&amp;H18,IF(H18="TBC","TBC / Confirm",IFERROR(VLOOKUP(E18,'Planning Rules'!$A$4:$C$8,3,FALSE),"Backlog - Set Priority")))</x:f>
        <x:v>Excluded - Done</x:v>
      </x:c>
      <x:c r="M18" s="76" t="n">
        <x:f>IFERROR(VLOOKUP(E18,'Planning Rules'!$A$4:$C$8,2,FALSE),5)</x:f>
        <x:v>5</x:v>
      </x:c>
    </x:row>
    <x:row r="19">
      <x:c r="A19" s="61" t="n">
        <x:v>19</x:v>
      </x:c>
      <x:c r="B19" s="62" t="str">
        <x:v>ISSUE</x:v>
      </x:c>
      <x:c r="C19" s="63" t="str">
        <x:v>Draft PO</x:v>
      </x:c>
      <x:c r="D19" s="63" t="str">
        <x:v>มี Draft PO ที่ Status ยังค้างเป็น Matching ทั้งๆที่ Matched ไปแล้ว
List Draft PO ที่มีปัญหาได้แก่
1. KPT-LLQ-11/25-155_TAN
2. 2011006839_9
3. 2011006839_3
4. 2011007382_4
5. 2011007382_2
6. 2011008008_4
7. 2011008008_3</x:v>
      </x:c>
      <x:c r="E19" s="63" t="str">
        <x:v>Unspecified</x:v>
      </x:c>
      <x:c r="F19" s="65" t="n">
        <x:v>46017</x:v>
      </x:c>
      <x:c r="G19" s="63" t="str">
        <x:v>Pech</x:v>
      </x:c>
      <x:c r="H19" s="63" t="str">
        <x:v>Done</x:v>
      </x:c>
      <x:c r="I19" s="65" t="n">
        <x:v>46027</x:v>
      </x:c>
      <x:c r="J19" s="63" t="str"/>
      <x:c r="K19" s="63" t="str"/>
      <x:c r="L19" s="63" t="str">
        <x:f>IF(OR(H19="Done",H19="Cancelled"),"Excluded - "&amp;H19,IF(H19="TBC","TBC / Confirm",IFERROR(VLOOKUP(E19,'Planning Rules'!$A$4:$C$8,3,FALSE),"Backlog - Set Priority")))</x:f>
        <x:v>Excluded - Done</x:v>
      </x:c>
      <x:c r="M19" s="76" t="n">
        <x:f>IFERROR(VLOOKUP(E19,'Planning Rules'!$A$4:$C$8,2,FALSE),5)</x:f>
        <x:v>5</x:v>
      </x:c>
    </x:row>
    <x:row r="20">
      <x:c r="A20" s="61" t="n">
        <x:v>20</x:v>
      </x:c>
      <x:c r="B20" s="62" t="str">
        <x:v>CR</x:v>
      </x:c>
      <x:c r="C20" s="63" t="str">
        <x:v>Switch TXN</x:v>
      </x:c>
      <x:c r="D20" s="63" t="str">
        <x:v>Bulk upload switch OTB</x:v>
      </x:c>
      <x:c r="E20" s="63" t="str">
        <x:v>Unspecified</x:v>
      </x:c>
      <x:c r="F20" s="65" t="n">
        <x:v>46006</x:v>
      </x:c>
      <x:c r="G20" s="63" t="str">
        <x:v>Pech</x:v>
      </x:c>
      <x:c r="H20" s="63" t="str">
        <x:v>Done</x:v>
      </x:c>
      <x:c r="I20" s="65"/>
      <x:c r="J20" s="63" t="str"/>
      <x:c r="K20" s="63" t="str"/>
      <x:c r="L20" s="63" t="str">
        <x:f>IF(OR(H20="Done",H20="Cancelled"),"Excluded - "&amp;H20,IF(H20="TBC","TBC / Confirm",IFERROR(VLOOKUP(E20,'Planning Rules'!$A$4:$C$8,3,FALSE),"Backlog - Set Priority")))</x:f>
        <x:v>Excluded - Done</x:v>
      </x:c>
      <x:c r="M20" s="76" t="n">
        <x:f>IFERROR(VLOOKUP(E20,'Planning Rules'!$A$4:$C$8,2,FALSE),5)</x:f>
        <x:v>5</x:v>
      </x:c>
    </x:row>
    <x:row r="21">
      <x:c r="A21" s="61" t="n">
        <x:v>21</x:v>
      </x:c>
      <x:c r="B21" s="62" t="str">
        <x:v>ISSUE</x:v>
      </x:c>
      <x:c r="C21" s="63" t="str">
        <x:v>Match Actual PO</x:v>
      </x:c>
      <x:c r="D21" s="63" t="str">
        <x:v>ยังเจอว่า 1 draft po no. ยังไป match actual po ได้หลาย actual po อยู่ &gt; จริงๆ ถ้า draft po ไป match กับใครแล้ว จะต้องไม่เอาตัวนั้นไป match กับ actual ตัวอื่น</x:v>
      </x:c>
      <x:c r="E21" s="63" t="str">
        <x:v>Unspecified</x:v>
      </x:c>
      <x:c r="F21" s="65" t="n">
        <x:v>46008</x:v>
      </x:c>
      <x:c r="G21" s="63" t="str">
        <x:v>Pech</x:v>
      </x:c>
      <x:c r="H21" s="63" t="str">
        <x:v>Done</x:v>
      </x:c>
      <x:c r="I21" s="65"/>
      <x:c r="J21" s="63" t="str"/>
      <x:c r="K21" s="63" t="str"/>
      <x:c r="L21" s="63" t="str">
        <x:f>IF(OR(H21="Done",H21="Cancelled"),"Excluded - "&amp;H21,IF(H21="TBC","TBC / Confirm",IFERROR(VLOOKUP(E21,'Planning Rules'!$A$4:$C$8,3,FALSE),"Backlog - Set Priority")))</x:f>
        <x:v>Excluded - Done</x:v>
      </x:c>
      <x:c r="M21" s="76" t="n">
        <x:f>IFERROR(VLOOKUP(E21,'Planning Rules'!$A$4:$C$8,2,FALSE),5)</x:f>
        <x:v>5</x:v>
      </x:c>
    </x:row>
    <x:row r="22">
      <x:c r="A22" s="61" t="n">
        <x:v>22</x:v>
      </x:c>
      <x:c r="B22" s="62" t="str">
        <x:v>ISSUE</x:v>
      </x:c>
      <x:c r="C22" s="63" t="str">
        <x:v>Match Actual PO</x:v>
      </x:c>
      <x:c r="D22" s="63" t="str">
        <x:v>กรณีที่มีการกดปุ่ม view data หรือ syn sap หากเจอว่ามีคู่ draft po/actual po ที่ amount มันตรงเงื่อนไขกว่า มันไม่จับคู่ใหม่ให้</x:v>
      </x:c>
      <x:c r="E22" s="63" t="str">
        <x:v>Unspecified</x:v>
      </x:c>
      <x:c r="F22" s="65" t="n">
        <x:v>46008</x:v>
      </x:c>
      <x:c r="G22" s="63" t="str">
        <x:v>Nid</x:v>
      </x:c>
      <x:c r="H22" s="63" t="str">
        <x:v>Done</x:v>
      </x:c>
      <x:c r="I22" s="65" t="n">
        <x:v>46008</x:v>
      </x:c>
      <x:c r="J22" s="63" t="str"/>
      <x:c r="K22" s="63" t="str"/>
      <x:c r="L22" s="63" t="str">
        <x:f>IF(OR(H22="Done",H22="Cancelled"),"Excluded - "&amp;H22,IF(H22="TBC","TBC / Confirm",IFERROR(VLOOKUP(E22,'Planning Rules'!$A$4:$C$8,3,FALSE),"Backlog - Set Priority")))</x:f>
        <x:v>Excluded - Done</x:v>
      </x:c>
      <x:c r="M22" s="76" t="n">
        <x:f>IFERROR(VLOOKUP(E22,'Planning Rules'!$A$4:$C$8,2,FALSE),5)</x:f>
        <x:v>5</x:v>
      </x:c>
    </x:row>
    <x:row r="23">
      <x:c r="A23" s="61" t="n">
        <x:v>23</x:v>
      </x:c>
      <x:c r="B23" s="62" t="str">
        <x:v>ISSUE</x:v>
      </x:c>
      <x:c r="C23" s="63" t="str">
        <x:v>Draft PO</x:v>
      </x:c>
      <x:c r="D23" s="63" t="str">
        <x:v>กรณีที่มีการแก้ไขแค่ draft po no. แต่ amount ไม่ได้มีการแก้ไข ระบบกลับไม่ให้ทำ ทั้งที่เป็นการแก้ไขเลข draft po no. เท่านั้น ระบบขึ้นเตือนว่าเงินไม่พอ &gt; จำได้ว่าเคสนี้เรา UAT ผ่านแล้วก่อนขึ้น prod</x:v>
      </x:c>
      <x:c r="E23" s="63" t="str">
        <x:v>Unspecified</x:v>
      </x:c>
      <x:c r="F23" s="65" t="n">
        <x:v>46008</x:v>
      </x:c>
      <x:c r="G23" s="63" t="str">
        <x:v>Pech</x:v>
      </x:c>
      <x:c r="H23" s="63" t="str">
        <x:v>Done</x:v>
      </x:c>
      <x:c r="I23" s="65" t="n">
        <x:v>46008</x:v>
      </x:c>
      <x:c r="J23" s="63" t="str">
        <x:v>5/1/26 - อยากให้ Monitor ด้วย</x:v>
      </x:c>
      <x:c r="K23" s="63" t="str">
        <x:v>ต้องวิเคราะห์ก่อนทำ</x:v>
      </x:c>
      <x:c r="L23" s="63" t="str">
        <x:f>IF(OR(H23="Done",H23="Cancelled"),"Excluded - "&amp;H23,IF(H23="TBC","TBC / Confirm",IFERROR(VLOOKUP(E23,'Planning Rules'!$A$4:$C$8,3,FALSE),"Backlog - Set Priority")))</x:f>
        <x:v>Excluded - Done</x:v>
      </x:c>
      <x:c r="M23" s="76" t="n">
        <x:f>IFERROR(VLOOKUP(E23,'Planning Rules'!$A$4:$C$8,2,FALSE),5)</x:f>
        <x:v>5</x:v>
      </x:c>
    </x:row>
    <x:row r="24">
      <x:c r="A24" s="61" t="n">
        <x:v>24</x:v>
      </x:c>
      <x:c r="B24" s="62" t="str">
        <x:v>ISSUE</x:v>
      </x:c>
      <x:c r="C24" s="63" t="str">
        <x:v>Match Actual PO</x:v>
      </x:c>
      <x:c r="D24" s="63" t="str">
        <x:v>มี actual po ที่เป็น budget ของเดือน Nov 2025 ไหลเข้ามาด้วย 2 หมายเลข PO</x:v>
      </x:c>
      <x:c r="E24" s="63" t="str">
        <x:v>Unspecified</x:v>
      </x:c>
      <x:c r="F24" s="65" t="n">
        <x:v>46008</x:v>
      </x:c>
      <x:c r="G24" s="63" t="str">
        <x:v>Pech</x:v>
      </x:c>
      <x:c r="H24" s="63" t="str">
        <x:v>Done</x:v>
      </x:c>
      <x:c r="I24" s="65" t="n">
        <x:v>46009</x:v>
      </x:c>
      <x:c r="J24" s="63" t="str">
        <x:v>18/12/25 - เคสนี้ที่มองเป็น budget เป็นเดือน Nov 25 เพราะว่าตอนแรก User เปิด PO ด้วย OTB เดือน Nov ซึ่งเปิดผิด เลยไป flag delete item ให้เป็น 0 แล้ว Add item ใหม่ด้วย OTB เดือน Dec 25 ทำให้เจอเคสนี้</x:v>
      </x:c>
      <x:c r="K24" s="63" t="str"/>
      <x:c r="L24" s="63" t="str">
        <x:f>IF(OR(H24="Done",H24="Cancelled"),"Excluded - "&amp;H24,IF(H24="TBC","TBC / Confirm",IFERROR(VLOOKUP(E24,'Planning Rules'!$A$4:$C$8,3,FALSE),"Backlog - Set Priority")))</x:f>
        <x:v>Excluded - Done</x:v>
      </x:c>
      <x:c r="M24" s="76" t="n">
        <x:f>IFERROR(VLOOKUP(E24,'Planning Rules'!$A$4:$C$8,2,FALSE),5)</x:f>
        <x:v>5</x:v>
      </x:c>
    </x:row>
    <x:row r="25">
      <x:c r="A25" s="61" t="n">
        <x:v>25</x:v>
      </x:c>
      <x:c r="B25" s="62" t="str">
        <x:v>ISSUE</x:v>
      </x:c>
      <x:c r="C25" s="63" t="str">
        <x:v>Draft PO</x:v>
      </x:c>
      <x:c r="D25" s="63" t="str">
        <x:v>ตอน upload draft po ระบบเช็คเงื่อนไขให้ถูกต้อง สมมติว่า มีรายการที่ upload 5 รายการ ผ่าน 3 ไม่ผ่าน 2 แล้วกดปุ่ม confirm to submit ระบบแจ้งเตือนว่าไม่ผ่านหมด แต่จริงๆ ระบบเอา 3 รายการที่ผ่านไป save ให้แล้ว &gt; อันนี้เราควรแสดงให้เห็นว่าผ่าน 3 ไม่ผ่าน 2 รายการหรือเปล่านะ
และเจอว่าตอน preview ระบบไม่ได้แจ้งเตือนอะไร แต่พอกะ submit บอกว่าเจอ Error</x:v>
      </x:c>
      <x:c r="E25" s="63" t="str">
        <x:v>Unspecified</x:v>
      </x:c>
      <x:c r="F25" s="65" t="n">
        <x:v>46008</x:v>
      </x:c>
      <x:c r="G25" s="63" t="str">
        <x:v>Pech</x:v>
      </x:c>
      <x:c r="H25" s="63" t="str">
        <x:v>Done</x:v>
      </x:c>
      <x:c r="I25" s="65"/>
      <x:c r="J25" s="63" t="str">
        <x:v>ึ5/1/26 - ขอ Folllow-up ว่ายังมี Event นี้อยู่ไหม ถึงค่อยปิดเคสนี้ได้
30/12/25 - ตัวเช็คเงิ่อนไข มันใช้คนละตัวกันครับ มันต้องไปใช้ ตัวเดียวกับ กรอกปกติ</x:v>
      </x:c>
      <x:c r="K25" s="63" t="str"/>
      <x:c r="L25" s="63" t="str">
        <x:f>IF(OR(H25="Done",H25="Cancelled"),"Excluded - "&amp;H25,IF(H25="TBC","TBC / Confirm",IFERROR(VLOOKUP(E25,'Planning Rules'!$A$4:$C$8,3,FALSE),"Backlog - Set Priority")))</x:f>
        <x:v>Excluded - Done</x:v>
      </x:c>
      <x:c r="M25" s="76" t="n">
        <x:f>IFERROR(VLOOKUP(E25,'Planning Rules'!$A$4:$C$8,2,FALSE),5)</x:f>
        <x:v>5</x:v>
      </x:c>
    </x:row>
    <x:row r="26">
      <x:c r="A26" s="61" t="n">
        <x:v>26</x:v>
      </x:c>
      <x:c r="B26" s="62" t="str">
        <x:v>CR</x:v>
      </x:c>
      <x:c r="C26" s="63" t="str">
        <x:v>Draft PO</x:v>
      </x:c>
      <x:c r="D26" s="63" t="str">
        <x:v>ในหน้า preview upload draft po จะให้ระบบ ช่วยแสดงบรรรทัด Row ใน Excel เพื่อให้ user investigate บรรทัดที่มีปัญหาได้</x:v>
      </x:c>
      <x:c r="E26" s="63" t="str">
        <x:v>Unspecified</x:v>
      </x:c>
      <x:c r="F26" s="65" t="n">
        <x:v>46014</x:v>
      </x:c>
      <x:c r="G26" s="63" t="str">
        <x:v>Pech</x:v>
      </x:c>
      <x:c r="H26" s="63" t="str">
        <x:v>Done</x:v>
      </x:c>
      <x:c r="I26" s="65"/>
      <x:c r="J26" s="63" t="str"/>
      <x:c r="K26" s="63" t="str"/>
      <x:c r="L26" s="63" t="str">
        <x:f>IF(OR(H26="Done",H26="Cancelled"),"Excluded - "&amp;H26,IF(H26="TBC","TBC / Confirm",IFERROR(VLOOKUP(E26,'Planning Rules'!$A$4:$C$8,3,FALSE),"Backlog - Set Priority")))</x:f>
        <x:v>Excluded - Done</x:v>
      </x:c>
      <x:c r="M26" s="76" t="n">
        <x:f>IFERROR(VLOOKUP(E26,'Planning Rules'!$A$4:$C$8,2,FALSE),5)</x:f>
        <x:v>5</x:v>
      </x:c>
    </x:row>
    <x:row r="27">
      <x:c r="A27" s="61" t="n">
        <x:v>27</x:v>
      </x:c>
      <x:c r="B27" s="62" t="str">
        <x:v>ISSUE</x:v>
      </x:c>
      <x:c r="C27" s="63" t="str">
        <x:v>Actual PO</x:v>
      </x:c>
      <x:c r="D27" s="63" t="str">
        <x:v>ถอยรายการที่ matched ไปแล้ว เพื่อจับคู่ Draft PO ใหม่
Draft PO: KPC-LM-SP-12/25-443
Actual PO: 2015014172</x:v>
      </x:c>
      <x:c r="E27" s="63" t="str">
        <x:v>Unspecified</x:v>
      </x:c>
      <x:c r="F27" s="65" t="n">
        <x:v>46016</x:v>
      </x:c>
      <x:c r="G27" s="63" t="str">
        <x:v>Nid</x:v>
      </x:c>
      <x:c r="H27" s="63" t="str">
        <x:v>Done</x:v>
      </x:c>
      <x:c r="I27" s="65" t="n">
        <x:v>45662</x:v>
      </x:c>
      <x:c r="J27" s="63" t="str">
        <x:v>5/1/26 - พี่กู่ถอยรายการให้แล้ว แต่ยังเจอปัญหาว่า ในหน้า match รายการ ยังเอา Draft PO เดียวไปคู่กับ Acutal PO 2 อันอยู่
สาเหตุคือ 1 Draft PO จับคู่กับ Actual PO ได้ 2 หมายเลข
workaround ให้ถอยรายการทั้งคู่
และเจอว่ามี Draft PO ค้างอยู่หลายอันเลย</x:v>
      </x:c>
      <x:c r="K27" s="63" t="str"/>
      <x:c r="L27" s="63" t="str">
        <x:f>IF(OR(H27="Done",H27="Cancelled"),"Excluded - "&amp;H27,IF(H27="TBC","TBC / Confirm",IFERROR(VLOOKUP(E27,'Planning Rules'!$A$4:$C$8,3,FALSE),"Backlog - Set Priority")))</x:f>
        <x:v>Excluded - Done</x:v>
      </x:c>
      <x:c r="M27" s="76" t="n">
        <x:f>IFERROR(VLOOKUP(E27,'Planning Rules'!$A$4:$C$8,2,FALSE),5)</x:f>
        <x:v>5</x:v>
      </x:c>
    </x:row>
    <x:row r="28">
      <x:c r="A28" s="61" t="n">
        <x:v>28</x:v>
      </x:c>
      <x:c r="B28" s="62" t="str">
        <x:v>ISSUE</x:v>
      </x:c>
      <x:c r="C28" s="63" t="str">
        <x:v>Actual PO</x:v>
      </x:c>
      <x:c r="D28" s="63" t="str">
        <x:v>Actual PO ที่ SAP กับที่ KBMS ไม่ตรงกันในบางวัน</x:v>
      </x:c>
      <x:c r="E28" s="63" t="str">
        <x:v>Unspecified</x:v>
      </x:c>
      <x:c r="F28" s="65" t="n">
        <x:v>46016</x:v>
      </x:c>
      <x:c r="G28" s="63" t="str">
        <x:v>Nid</x:v>
      </x:c>
      <x:c r="H28" s="63" t="str">
        <x:v>Done</x:v>
      </x:c>
      <x:c r="I28" s="65"/>
      <x:c r="J28" s="63" t="str">
        <x:v>7/1/26 - Check result ที่ UAT เจอว่ามีข้อมูล แต่ PO Date ไม่ถูกต้อง (แก้ไขแล้ว)
5/1/26 - พี่กู่ Dev เสร็จแล้วรอ Deploy ขึ้น UAT
Target test - 6/1/25 แล้วขึ้น Prod</x:v>
      </x:c>
      <x:c r="K28" s="63" t="str"/>
      <x:c r="L28" s="63" t="str">
        <x:f>IF(OR(H28="Done",H28="Cancelled"),"Excluded - "&amp;H28,IF(H28="TBC","TBC / Confirm",IFERROR(VLOOKUP(E28,'Planning Rules'!$A$4:$C$8,3,FALSE),"Backlog - Set Priority")))</x:f>
        <x:v>Excluded - Done</x:v>
      </x:c>
      <x:c r="M28" s="76" t="n">
        <x:f>IFERROR(VLOOKUP(E28,'Planning Rules'!$A$4:$C$8,2,FALSE),5)</x:f>
        <x:v>5</x:v>
      </x:c>
    </x:row>
    <x:row r="29">
      <x:c r="A29" s="61" t="n">
        <x:v>29</x:v>
      </x:c>
      <x:c r="B29" s="62" t="str">
        <x:v>ISSUE</x:v>
      </x:c>
      <x:c r="C29" s="63" t="str">
        <x:v>Actual PO</x:v>
      </x:c>
      <x:c r="D29" s="63" t="str">
        <x:v>Status date ไม่มีข้อมูลว่า matched date เมื่อไหร่</x:v>
      </x:c>
      <x:c r="E29" s="63" t="str">
        <x:v>Unspecified</x:v>
      </x:c>
      <x:c r="F29" s="65" t="n">
        <x:v>46027</x:v>
      </x:c>
      <x:c r="G29" s="63" t="str">
        <x:v>Pech</x:v>
      </x:c>
      <x:c r="H29" s="63" t="str">
        <x:v>Done</x:v>
      </x:c>
      <x:c r="I29" s="65"/>
      <x:c r="J29" s="63" t="str">
        <x:v>7/1/2026 - รอการแก้จากทางพี่กู่</x:v>
      </x:c>
      <x:c r="K29" s="63" t="str"/>
      <x:c r="L29" s="63" t="str">
        <x:f>IF(OR(H29="Done",H29="Cancelled"),"Excluded - "&amp;H29,IF(H29="TBC","TBC / Confirm",IFERROR(VLOOKUP(E29,'Planning Rules'!$A$4:$C$8,3,FALSE),"Backlog - Set Priority")))</x:f>
        <x:v>Excluded - Done</x:v>
      </x:c>
      <x:c r="M29" s="76" t="n">
        <x:f>IFERROR(VLOOKUP(E29,'Planning Rules'!$A$4:$C$8,2,FALSE),5)</x:f>
        <x:v>5</x:v>
      </x:c>
    </x:row>
    <x:row r="30">
      <x:c r="A30" s="61" t="n">
        <x:v>30</x:v>
      </x:c>
      <x:c r="B30" s="62" t="str">
        <x:v>ISSUE</x:v>
      </x:c>
      <x:c r="C30" s="63" t="str">
        <x:v>Actual PO</x:v>
      </x:c>
      <x:c r="D30" s="63" t="str">
        <x:v>พบว่ามีข้อมูล Actual PO ของ Brand/Cate/Vendor รายการซ้ำกัน (ข้อมูลเหมือนกัน แต่เบิ้ลรายการ) ทั้งใน report และแสดงผลที่หน้า Web</x:v>
      </x:c>
      <x:c r="E30" s="63" t="str">
        <x:v>Unspecified</x:v>
      </x:c>
      <x:c r="F30" s="65" t="n">
        <x:v>46028</x:v>
      </x:c>
      <x:c r="G30" s="63" t="str">
        <x:v>Pech</x:v>
      </x:c>
      <x:c r="H30" s="63" t="str">
        <x:v>Done</x:v>
      </x:c>
      <x:c r="I30" s="65" t="n">
        <x:v>46028</x:v>
      </x:c>
      <x:c r="J30" s="63" t="str"/>
      <x:c r="K30" s="63" t="str"/>
      <x:c r="L30" s="63" t="str">
        <x:f>IF(OR(H30="Done",H30="Cancelled"),"Excluded - "&amp;H30,IF(H30="TBC","TBC / Confirm",IFERROR(VLOOKUP(E30,'Planning Rules'!$A$4:$C$8,3,FALSE),"Backlog - Set Priority")))</x:f>
        <x:v>Excluded - Done</x:v>
      </x:c>
      <x:c r="M30" s="76" t="n">
        <x:f>IFERROR(VLOOKUP(E30,'Planning Rules'!$A$4:$C$8,2,FALSE),5)</x:f>
        <x:v>5</x:v>
      </x:c>
    </x:row>
    <x:row r="31">
      <x:c r="A31" s="61" t="n">
        <x:v>31</x:v>
      </x:c>
      <x:c r="B31" s="62" t="str">
        <x:v>CR</x:v>
      </x:c>
      <x:c r="C31" s="63" t="str">
        <x:v>OTB Remaining</x:v>
      </x:c>
      <x:c r="D31" s="63" t="str">
        <x:v>เพิ่ิ่มหัวข้อคอลัม Actual PO / Draft PO / Total Actual + Draft PO ในหัวข้อ Export Summary
**ให้เหมือนในหัวข้อ Export TXN ตามตัวอย่างชีส ISSUE#31**</x:v>
      </x:c>
      <x:c r="E31" s="63" t="str">
        <x:v>High</x:v>
      </x:c>
      <x:c r="F31" s="65" t="n">
        <x:v>46029</x:v>
      </x:c>
      <x:c r="G31" s="63" t="str">
        <x:v>Pech</x:v>
      </x:c>
      <x:c r="H31" s="63"/>
      <x:c r="I31" s="65"/>
      <x:c r="J31" s="63" t="str">
        <x:v>พี่กู่ดำเนินการ</x:v>
      </x:c>
      <x:c r="K31" s="63" t="str">
        <x:v>กำลังดำเนินการ</x:v>
      </x:c>
      <x:c r="L31" s="63" t="str">
        <x:f>IF(OR(H31="Done",H31="Cancelled"),"Excluded - "&amp;H31,IF(H31="TBC","TBC / Confirm",IFERROR(VLOOKUP(E31,'Planning Rules'!$A$4:$C$8,3,FALSE),"Backlog - Set Priority")))</x:f>
        <x:v>Sprint 3-5</x:v>
      </x:c>
      <x:c r="M31" s="76" t="n">
        <x:f>IFERROR(VLOOKUP(E31,'Planning Rules'!$A$4:$C$8,2,FALSE),5)</x:f>
        <x:v>2</x:v>
      </x:c>
    </x:row>
    <x:row r="32">
      <x:c r="A32" s="61" t="n">
        <x:v>32</x:v>
      </x:c>
      <x:c r="B32" s="62" t="str">
        <x:v>ISSUE</x:v>
      </x:c>
      <x:c r="C32" s="63" t="str">
        <x:v>Draft PO</x:v>
      </x:c>
      <x:c r="D32" s="63" t="str">
        <x:v>Draft PO ไป matching กับ Actual PO ที่ถูก matched ไปแล้ว จริงๆแล้วถ้าหากกด sync SAP แล้วจะต้องจับคู่ Actual PO ใหม่ที่ไม่เคยถูกนำมา match
Draft PO #2011008479</x:v>
      </x:c>
      <x:c r="E32" s="63" t="str">
        <x:v>Unspecified</x:v>
      </x:c>
      <x:c r="F32" s="65" t="n">
        <x:v>46028</x:v>
      </x:c>
      <x:c r="G32" s="63" t="str">
        <x:v>Pech</x:v>
      </x:c>
      <x:c r="H32" s="63" t="str">
        <x:v>Done</x:v>
      </x:c>
      <x:c r="I32" s="65" t="n">
        <x:v>46028</x:v>
      </x:c>
      <x:c r="J32" s="63" t="str"/>
      <x:c r="K32" s="63" t="str"/>
      <x:c r="L32" s="63" t="str">
        <x:f>IF(OR(H32="Done",H32="Cancelled"),"Excluded - "&amp;H32,IF(H32="TBC","TBC / Confirm",IFERROR(VLOOKUP(E32,'Planning Rules'!$A$4:$C$8,3,FALSE),"Backlog - Set Priority")))</x:f>
        <x:v>Excluded - Done</x:v>
      </x:c>
      <x:c r="M32" s="76" t="n">
        <x:f>IFERROR(VLOOKUP(E32,'Planning Rules'!$A$4:$C$8,2,FALSE),5)</x:f>
        <x:v>5</x:v>
      </x:c>
    </x:row>
    <x:row r="33">
      <x:c r="A33" s="61" t="n">
        <x:v>33</x:v>
      </x:c>
      <x:c r="B33" s="62" t="str">
        <x:v>ISSUE</x:v>
      </x:c>
      <x:c r="C33" s="63" t="str">
        <x:v>Match Actual PO</x:v>
      </x:c>
      <x:c r="D33" s="63" t="str">
        <x:v>Refer issue #27 ยังเจอว่า ระบบยังเอา Draft PO เลขเดียวกันไป match actual PO 2 หมายเลข
Draft PO# KPC-LM-SP-12/25-443</x:v>
      </x:c>
      <x:c r="E33" s="63" t="str">
        <x:v>Unspecified</x:v>
      </x:c>
      <x:c r="F33" s="65" t="n">
        <x:v>46029</x:v>
      </x:c>
      <x:c r="G33" s="63" t="str">
        <x:v>Nid</x:v>
      </x:c>
      <x:c r="H33" s="63" t="str">
        <x:v>Done</x:v>
      </x:c>
      <x:c r="I33" s="65"/>
      <x:c r="J33" s="63" t="str"/>
      <x:c r="K33" s="63" t="str"/>
      <x:c r="L33" s="63" t="str">
        <x:f>IF(OR(H33="Done",H33="Cancelled"),"Excluded - "&amp;H33,IF(H33="TBC","TBC / Confirm",IFERROR(VLOOKUP(E33,'Planning Rules'!$A$4:$C$8,3,FALSE),"Backlog - Set Priority")))</x:f>
        <x:v>Excluded - Done</x:v>
      </x:c>
      <x:c r="M33" s="76" t="n">
        <x:f>IFERROR(VLOOKUP(E33,'Planning Rules'!$A$4:$C$8,2,FALSE),5)</x:f>
        <x:v>5</x:v>
      </x:c>
    </x:row>
    <x:row r="34">
      <x:c r="A34" s="61" t="n">
        <x:v>34</x:v>
      </x:c>
      <x:c r="B34" s="62" t="str">
        <x:v>CR</x:v>
      </x:c>
      <x:c r="C34" s="63" t="str">
        <x:v>Match Actual PO</x:v>
      </x:c>
      <x:c r="D34" s="63" t="str">
        <x:v>กรณีที่ Actual PO ที่กด Sync SAP มาแล้วมีค่า amount = 0 ให้แสดงแถบสีเทา</x:v>
      </x:c>
      <x:c r="E34" s="63" t="str">
        <x:v>Unspecified</x:v>
      </x:c>
      <x:c r="F34" s="65" t="n">
        <x:v>46027</x:v>
      </x:c>
      <x:c r="G34" s="63" t="str">
        <x:v>Pech</x:v>
      </x:c>
      <x:c r="H34" s="63" t="str">
        <x:v>Cancelled</x:v>
      </x:c>
      <x:c r="I34" s="65"/>
      <x:c r="J34" s="63" t="str">
        <x:v>logic ตอนนี้ไม่แสดง Actual PO เลย</x:v>
      </x:c>
      <x:c r="K34" s="63" t="str"/>
      <x:c r="L34" s="63" t="str">
        <x:f>IF(OR(H34="Done",H34="Cancelled"),"Excluded - "&amp;H34,IF(H34="TBC","TBC / Confirm",IFERROR(VLOOKUP(E34,'Planning Rules'!$A$4:$C$8,3,FALSE),"Backlog - Set Priority")))</x:f>
        <x:v>Excluded - Cancelled</x:v>
      </x:c>
      <x:c r="M34" s="76" t="n">
        <x:f>IFERROR(VLOOKUP(E34,'Planning Rules'!$A$4:$C$8,2,FALSE),5)</x:f>
        <x:v>5</x:v>
      </x:c>
    </x:row>
    <x:row r="35">
      <x:c r="A35" s="61" t="n">
        <x:v>37</x:v>
      </x:c>
      <x:c r="B35" s="62" t="str">
        <x:v>CR</x:v>
      </x:c>
      <x:c r="C35" s="63" t="str">
        <x:v>OTB Remaining</x:v>
      </x:c>
      <x:c r="D35" s="63" t="str">
        <x:v>ในส่วนของ Export TXN Report ที่ออกมาหมวดของ Out ให้แสดงข้อมูลโชว์เครื่องหมายติดลบ ซึ่งจะมีผลกับ total budget ที่ต้องเปลี่ยนวิธีการคำนวณใหม่</x:v>
      </x:c>
      <x:c r="E35" s="63" t="str">
        <x:v>Very High</x:v>
      </x:c>
      <x:c r="F35" s="65" t="n">
        <x:v>46029</x:v>
      </x:c>
      <x:c r="G35" s="63" t="str">
        <x:v>Pech</x:v>
      </x:c>
      <x:c r="H35" s="63"/>
      <x:c r="I35" s="65"/>
      <x:c r="J35" s="63" t="str">
        <x:v>Solution แก้เฉพาะตอน gen report excel เท่านั้น เฉพาะที่เป็น column out เท่านั้น ไม่ต้องแก้ Display ที่ Web
พี่ี่ี่กู่ รีบดำเนินการ</x:v>
      </x:c>
      <x:c r="K35" s="63" t="str">
        <x:v>เร่งด่วนตาม Remark</x:v>
      </x:c>
      <x:c r="L35" s="63" t="str">
        <x:f>IF(OR(H35="Done",H35="Cancelled"),"Excluded - "&amp;H35,IF(H35="TBC","TBC / Confirm",IFERROR(VLOOKUP(E35,'Planning Rules'!$A$4:$C$8,3,FALSE),"Backlog - Set Priority")))</x:f>
        <x:v>Sprint 1-3</x:v>
      </x:c>
      <x:c r="M35" s="76" t="n">
        <x:f>IFERROR(VLOOKUP(E35,'Planning Rules'!$A$4:$C$8,2,FALSE),5)</x:f>
        <x:v>1</x:v>
      </x:c>
    </x:row>
    <x:row r="36">
      <x:c r="A36" s="61" t="n">
        <x:v>38</x:v>
      </x:c>
      <x:c r="B36" s="62" t="str">
        <x:v>CR</x:v>
      </x:c>
      <x:c r="C36" s="63" t="str">
        <x:v>Create Draft PO</x:v>
      </x:c>
      <x:c r="D36" s="63" t="str">
        <x:v>หน้า preview data เมื่อแสดงบอกว่า budget ไม่พอให้เพิ่มรายละเอียดคอลัม cate / brand **ตามตัวอย่างชีส ISSUE#38**</x:v>
      </x:c>
      <x:c r="E36" s="63" t="str">
        <x:v>High</x:v>
      </x:c>
      <x:c r="F36" s="65" t="n">
        <x:v>46034</x:v>
      </x:c>
      <x:c r="G36" s="63" t="str">
        <x:v>Pech</x:v>
      </x:c>
      <x:c r="H36" s="63"/>
      <x:c r="I36" s="65"/>
      <x:c r="J36" s="63" t="str">
        <x:v>พี่กู่ดำเนินการ</x:v>
      </x:c>
      <x:c r="K36" s="63" t="str">
        <x:v>กำลังดำเนินการ</x:v>
      </x:c>
      <x:c r="L36" s="63" t="str">
        <x:f>IF(OR(H36="Done",H36="Cancelled"),"Excluded - "&amp;H36,IF(H36="TBC","TBC / Confirm",IFERROR(VLOOKUP(E36,'Planning Rules'!$A$4:$C$8,3,FALSE),"Backlog - Set Priority")))</x:f>
        <x:v>Sprint 3-5</x:v>
      </x:c>
      <x:c r="M36" s="76" t="n">
        <x:f>IFERROR(VLOOKUP(E36,'Planning Rules'!$A$4:$C$8,2,FALSE),5)</x:f>
        <x:v>2</x:v>
      </x:c>
    </x:row>
    <x:row r="37">
      <x:c r="A37" s="61" t="n">
        <x:v>39</x:v>
      </x:c>
      <x:c r="B37" s="62" t="str">
        <x:v>CR</x:v>
      </x:c>
      <x:c r="C37" s="63"/>
      <x:c r="D37" s="63" t="str">
        <x:v>สามารถถอย Actual PO / Draft ที่ match ไปแล้วได้</x:v>
      </x:c>
      <x:c r="E37" s="63" t="str">
        <x:v>Medium</x:v>
      </x:c>
      <x:c r="F37" s="65" t="n">
        <x:v>46043</x:v>
      </x:c>
      <x:c r="G37" s="63" t="str">
        <x:v>Pech</x:v>
      </x:c>
      <x:c r="H37" s="63" t="str">
        <x:v>Cancelled</x:v>
      </x:c>
      <x:c r="I37" s="65"/>
      <x:c r="J37" s="63" t="str">
        <x:v>ไม่แน่ใจว่า user สามารถทำได้เองไหม</x:v>
      </x:c>
      <x:c r="K37" s="63" t="str">
        <x:v>ต้องยืนยัน/ตัดสินใจ</x:v>
      </x:c>
      <x:c r="L37" s="63" t="str">
        <x:f>IF(OR(H37="Done",H37="Cancelled"),"Excluded - "&amp;H37,IF(H37="TBC","TBC / Confirm",IFERROR(VLOOKUP(E37,'Planning Rules'!$A$4:$C$8,3,FALSE),"Backlog - Set Priority")))</x:f>
        <x:v>Excluded - Cancelled</x:v>
      </x:c>
      <x:c r="M37" s="76" t="n">
        <x:f>IFERROR(VLOOKUP(E37,'Planning Rules'!$A$4:$C$8,2,FALSE),5)</x:f>
        <x:v>3</x:v>
      </x:c>
    </x:row>
    <x:row r="38">
      <x:c r="A38" s="61" t="n">
        <x:v>40</x:v>
      </x:c>
      <x:c r="B38" s="62" t="str">
        <x:v>ISSUE</x:v>
      </x:c>
      <x:c r="C38" s="63"/>
      <x:c r="D38" s="63" t="str">
        <x:v>ระบบ match po เลขเดียวกันหลาย cate **ตัวอย่างชีส ISSUE#40**</x:v>
      </x:c>
      <x:c r="E38" s="63" t="str">
        <x:v>Medium</x:v>
      </x:c>
      <x:c r="F38" s="65" t="n">
        <x:v>46043</x:v>
      </x:c>
      <x:c r="G38" s="63" t="str">
        <x:v>Pech</x:v>
      </x:c>
      <x:c r="H38" s="63" t="str">
        <x:v>Done</x:v>
      </x:c>
      <x:c r="I38" s="65"/>
      <x:c r="J38" s="63" t="str">
        <x:v>ไม่่แน่ใจว่าเคสนี้แก้หรือยัง</x:v>
      </x:c>
      <x:c r="K38" s="63" t="str"/>
      <x:c r="L38" s="63" t="str">
        <x:f>IF(OR(H38="Done",H38="Cancelled"),"Excluded - "&amp;H38,IF(H38="TBC","TBC / Confirm",IFERROR(VLOOKUP(E38,'Planning Rules'!$A$4:$C$8,3,FALSE),"Backlog - Set Priority")))</x:f>
        <x:v>Excluded - Done</x:v>
      </x:c>
      <x:c r="M38" s="76" t="n">
        <x:f>IFERROR(VLOOKUP(E38,'Planning Rules'!$A$4:$C$8,2,FALSE),5)</x:f>
        <x:v>3</x:v>
      </x:c>
    </x:row>
    <x:row r="39">
      <x:c r="A39" s="61" t="n">
        <x:v>41</x:v>
      </x:c>
      <x:c r="B39" s="62" t="str">
        <x:v>CR</x:v>
      </x:c>
      <x:c r="C39" s="63"/>
      <x:c r="D39" s="63" t="str">
        <x:v>คีย์ดราฟ po ต่างกันสองเลข แต่ cate / ยอด เดียวกัน
1. ทีม system เปิด po ไปเลขแรกก่อน แล้ว po แรกถูก match เรียบร้อยไปแล้ว
2. ทีม system เปิด po ไปอีก 1 เลข แต่ทางจัดซื้อแจ้งยกเลิก po แรกและให้ใช้ po ที่สอง
3. ทีม system ทำการยกเลิก po แรกใน sap
4. ทำให้ในหน้า Match actual po เจอ po ที่สองไม่มีคู่
5. ซึ่งต้องถอย actual po แรกที่ match ไปแล้วให้กลับมาเป็น status draft เพื่อทำการ match po ที่สอง
6. ทำให้ po แรกที่ถูกถอยที่ทาง system ยกเลิก po ใน sap เห็นค่าเป็น 0
คำถาม : ระบบสามารถจับเลข po ที่เปลี่ยนไปในยอด amout เดิม cate เดิม โดยอ้างอิงจากที่ทาง system ยกเลิกในระบบ sap ได้หรือไม่ ทำให้ไม่ต้องมาหาคู่ใหม่อีกครั้ง **ล่าสุดเคสพี่เปิ้ล**
**ตัวอย่างชีส ISSUE#41**</x:v>
      </x:c>
      <x:c r="E39" s="63" t="str">
        <x:v>Medium</x:v>
      </x:c>
      <x:c r="F39" s="65" t="n">
        <x:v>46043</x:v>
      </x:c>
      <x:c r="G39" s="63" t="str">
        <x:v>Pech</x:v>
      </x:c>
      <x:c r="H39" s="63" t="str">
        <x:v>Done</x:v>
      </x:c>
      <x:c r="I39" s="65"/>
      <x:c r="J39" s="63" t="str">
        <x:v>ไม่่แน่ใจว่าเคสนี้แก้หรือยัง</x:v>
      </x:c>
      <x:c r="K39" s="63" t="str"/>
      <x:c r="L39" s="63" t="str">
        <x:f>IF(OR(H39="Done",H39="Cancelled"),"Excluded - "&amp;H39,IF(H39="TBC","TBC / Confirm",IFERROR(VLOOKUP(E39,'Planning Rules'!$A$4:$C$8,3,FALSE),"Backlog - Set Priority")))</x:f>
        <x:v>Excluded - Done</x:v>
      </x:c>
      <x:c r="M39" s="76" t="n">
        <x:f>IFERROR(VLOOKUP(E39,'Planning Rules'!$A$4:$C$8,2,FALSE),5)</x:f>
        <x:v>3</x:v>
      </x:c>
    </x:row>
    <x:row r="40">
      <x:c r="A40" s="61" t="n">
        <x:v>42</x:v>
      </x:c>
      <x:c r="B40" s="62" t="str">
        <x:v>ISSUE</x:v>
      </x:c>
      <x:c r="C40" s="63"/>
      <x:c r="D40" s="63" t="str">
        <x:v>หน้า actual po ถูก match ไปแล้ว แต่หน้า draft ยังเป็น status draft ทำให้หน้า remaing ติดลบ **ตัวอย่างชีส ISSUE#42**</x:v>
      </x:c>
      <x:c r="E40" s="63" t="str">
        <x:v>Very High</x:v>
      </x:c>
      <x:c r="F40" s="65" t="n">
        <x:v>46043</x:v>
      </x:c>
      <x:c r="G40" s="63" t="str">
        <x:v>Pech</x:v>
      </x:c>
      <x:c r="H40" s="63" t="str">
        <x:v>Done</x:v>
      </x:c>
      <x:c r="I40" s="65"/>
      <x:c r="J40" s="63" t="str"/>
      <x:c r="K40" s="63" t="str"/>
      <x:c r="L40" s="63" t="str">
        <x:f>IF(OR(H40="Done",H40="Cancelled"),"Excluded - "&amp;H40,IF(H40="TBC","TBC / Confirm",IFERROR(VLOOKUP(E40,'Planning Rules'!$A$4:$C$8,3,FALSE),"Backlog - Set Priority")))</x:f>
        <x:v>Excluded - Done</x:v>
      </x:c>
      <x:c r="M40" s="76" t="n">
        <x:f>IFERROR(VLOOKUP(E40,'Planning Rules'!$A$4:$C$8,2,FALSE),5)</x:f>
        <x:v>1</x:v>
      </x:c>
    </x:row>
    <x:row r="41">
      <x:c r="A41" s="61" t="n">
        <x:v>43</x:v>
      </x:c>
      <x:c r="B41" s="62" t="str">
        <x:v>CR</x:v>
      </x:c>
      <x:c r="C41" s="63" t="str">
        <x:v>Actual PO</x:v>
      </x:c>
      <x:c r="D41" s="63" t="str">
        <x:v>ตรงช่อง Remark ให้ดึงข้อมูลเหมือนช่อง Remark ในหน้า Draft PO
- เช่นในหน้า draft po remark ว่า PO OVER แต่ในหน้า actual po ช่อง remark ไม่มี **ตัวอย่างชีส ISSUE#43**</x:v>
      </x:c>
      <x:c r="E41" s="63" t="str">
        <x:v>Medium</x:v>
      </x:c>
      <x:c r="F41" s="65" t="n">
        <x:v>46043</x:v>
      </x:c>
      <x:c r="G41" s="63" t="str">
        <x:v>Pech</x:v>
      </x:c>
      <x:c r="H41" s="63" t="str">
        <x:v>TBC</x:v>
      </x:c>
      <x:c r="I41" s="65"/>
      <x:c r="J41" s="63" t="str">
        <x:v>เพชรกับพี่นิดจะต้อง Confirm ว่า Data ที่มาจาก SAP จะต้องใช้อะไรในการแยกว่าเป็น PO Over</x:v>
      </x:c>
      <x:c r="K41" s="63" t="str">
        <x:v>ต้องยืนยัน/ตัดสินใจ</x:v>
      </x:c>
      <x:c r="L41" s="63" t="str">
        <x:f>IF(OR(H41="Done",H41="Cancelled"),"Excluded - "&amp;H41,IF(H41="TBC","TBC / Confirm",IFERROR(VLOOKUP(E41,'Planning Rules'!$A$4:$C$8,3,FALSE),"Backlog - Set Priority")))</x:f>
        <x:v>TBC / Confirm</x:v>
      </x:c>
      <x:c r="M41" s="76" t="n">
        <x:f>IFERROR(VLOOKUP(E41,'Planning Rules'!$A$4:$C$8,2,FALSE),5)</x:f>
        <x:v>3</x:v>
      </x:c>
    </x:row>
    <x:row r="42">
      <x:c r="A42" s="61" t="n">
        <x:v>44</x:v>
      </x:c>
      <x:c r="B42" s="62" t="str">
        <x:v>ISSUE</x:v>
      </x:c>
      <x:c r="C42" s="63" t="str">
        <x:v>Match Actual PO</x:v>
      </x:c>
      <x:c r="D42" s="63" t="str">
        <x:v>System เปิดยอดน้อยกว่าใน Draft ที่คีย์ ระบบมันไม่ match ให้ / แต่พอ update ยอดให้เท่ากับ actual ที่เปิดระบบถึง match</x:v>
      </x:c>
      <x:c r="E42" s="63" t="str">
        <x:v>High</x:v>
      </x:c>
      <x:c r="F42" s="65" t="n">
        <x:v>46044</x:v>
      </x:c>
      <x:c r="G42" s="63" t="str">
        <x:v>Nid</x:v>
      </x:c>
      <x:c r="H42" s="63" t="str">
        <x:v>Done</x:v>
      </x:c>
      <x:c r="I42" s="65"/>
      <x:c r="J42" s="63" t="str">
        <x:v>ไม่่แน่ใจว่าเคสนี้แก้หรือยัง</x:v>
      </x:c>
      <x:c r="K42" s="63" t="str"/>
      <x:c r="L42" s="63" t="str">
        <x:f>IF(OR(H42="Done",H42="Cancelled"),"Excluded - "&amp;H42,IF(H42="TBC","TBC / Confirm",IFERROR(VLOOKUP(E42,'Planning Rules'!$A$4:$C$8,3,FALSE),"Backlog - Set Priority")))</x:f>
        <x:v>Excluded - Done</x:v>
      </x:c>
      <x:c r="M42" s="76" t="n">
        <x:f>IFERROR(VLOOKUP(E42,'Planning Rules'!$A$4:$C$8,2,FALSE),5)</x:f>
        <x:v>2</x:v>
      </x:c>
    </x:row>
    <x:row r="43">
      <x:c r="A43" s="61" t="n">
        <x:v>45</x:v>
      </x:c>
      <x:c r="B43" s="62" t="str">
        <x:v>ISSUE</x:v>
      </x:c>
      <x:c r="C43" s="63" t="str">
        <x:v>Create Switch</x:v>
      </x:c>
      <x:c r="D43" s="63" t="str">
        <x:v>ระบบให้ switch budget ได้ ทั้งที่ budget ไม่พอ ทำให้ remaing ติดลบ</x:v>
      </x:c>
      <x:c r="E43" s="63" t="str">
        <x:v>Very High</x:v>
      </x:c>
      <x:c r="F43" s="65" t="n">
        <x:v>46044</x:v>
      </x:c>
      <x:c r="G43" s="63" t="str">
        <x:v>Pech</x:v>
      </x:c>
      <x:c r="H43" s="63" t="str">
        <x:v>Done</x:v>
      </x:c>
      <x:c r="I43" s="65"/>
      <x:c r="J43" s="63" t="str">
        <x:v>ไม่่แน่ใจว่าเคสนี้แก้หรือยัง</x:v>
      </x:c>
      <x:c r="K43" s="63" t="str"/>
      <x:c r="L43" s="63" t="str">
        <x:f>IF(OR(H43="Done",H43="Cancelled"),"Excluded - "&amp;H43,IF(H43="TBC","TBC / Confirm",IFERROR(VLOOKUP(E43,'Planning Rules'!$A$4:$C$8,3,FALSE),"Backlog - Set Priority")))</x:f>
        <x:v>Excluded - Done</x:v>
      </x:c>
      <x:c r="M43" s="76" t="n">
        <x:f>IFERROR(VLOOKUP(E43,'Planning Rules'!$A$4:$C$8,2,FALSE),5)</x:f>
        <x:v>1</x:v>
      </x:c>
    </x:row>
    <x:row r="44">
      <x:c r="A44" s="61" t="n">
        <x:v>46</x:v>
      </x:c>
      <x:c r="B44" s="62" t="str">
        <x:v>ISSUE</x:v>
      </x:c>
      <x:c r="C44" s="63" t="str">
        <x:v>Create Draft PO</x:v>
      </x:c>
      <x:c r="D44" s="63" t="str">
        <x:v>ระบบให้ create draft po ได้ (upload) ทั้งที่ budget ไม่พอทำให้ remaing ติดลบ</x:v>
      </x:c>
      <x:c r="E44" s="63" t="str">
        <x:v>Very High</x:v>
      </x:c>
      <x:c r="F44" s="65" t="n">
        <x:v>46044</x:v>
      </x:c>
      <x:c r="G44" s="63" t="str">
        <x:v>Pech</x:v>
      </x:c>
      <x:c r="H44" s="63" t="str">
        <x:v>Done</x:v>
      </x:c>
      <x:c r="I44" s="65"/>
      <x:c r="J44" s="63" t="str">
        <x:v>ไม่่แน่ใจว่าเคสนี้แก้หรือยัง</x:v>
      </x:c>
      <x:c r="K44" s="63" t="str"/>
      <x:c r="L44" s="63" t="str">
        <x:f>IF(OR(H44="Done",H44="Cancelled"),"Excluded - "&amp;H44,IF(H44="TBC","TBC / Confirm",IFERROR(VLOOKUP(E44,'Planning Rules'!$A$4:$C$8,3,FALSE),"Backlog - Set Priority")))</x:f>
        <x:v>Excluded - Done</x:v>
      </x:c>
      <x:c r="M44" s="76" t="n">
        <x:f>IFERROR(VLOOKUP(E44,'Planning Rules'!$A$4:$C$8,2,FALSE),5)</x:f>
        <x:v>1</x:v>
      </x:c>
    </x:row>
    <x:row r="45">
      <x:c r="A45" s="61" t="n">
        <x:v>47</x:v>
      </x:c>
      <x:c r="B45" s="62" t="str">
        <x:v>ISSUE</x:v>
      </x:c>
      <x:c r="C45" s="63" t="str">
        <x:v>Switch TXN</x:v>
      </x:c>
      <x:c r="D45" s="63" t="str">
        <x:v>Refer issue #45 ระบบให้้ switch bduget ได้ทั้งที่ budget ไม่พอทำให้ remaing ติดลบ **เคสแบรนด์ chy**</x:v>
      </x:c>
      <x:c r="E45" s="63" t="str">
        <x:v>Very High</x:v>
      </x:c>
      <x:c r="F45" s="65" t="n">
        <x:v>46049</x:v>
      </x:c>
      <x:c r="G45" s="63" t="str">
        <x:v>Nid</x:v>
      </x:c>
      <x:c r="H45" s="63" t="str">
        <x:v>Done</x:v>
      </x:c>
      <x:c r="I45" s="65"/>
      <x:c r="J45" s="63" t="str">
        <x:v>ไม่่แน่ใจว่าเคสนี้แก้หรือยัง</x:v>
      </x:c>
      <x:c r="K45" s="63" t="str"/>
      <x:c r="L45" s="63" t="str">
        <x:f>IF(OR(H45="Done",H45="Cancelled"),"Excluded - "&amp;H45,IF(H45="TBC","TBC / Confirm",IFERROR(VLOOKUP(E45,'Planning Rules'!$A$4:$C$8,3,FALSE),"Backlog - Set Priority")))</x:f>
        <x:v>Excluded - Done</x:v>
      </x:c>
      <x:c r="M45" s="76" t="n">
        <x:f>IFERROR(VLOOKUP(E45,'Planning Rules'!$A$4:$C$8,2,FALSE),5)</x:f>
        <x:v>1</x:v>
      </x:c>
    </x:row>
    <x:row r="46">
      <x:c r="A46" s="61" t="n">
        <x:v>49</x:v>
      </x:c>
      <x:c r="B46" s="62" t="str">
        <x:v>CR</x:v>
      </x:c>
      <x:c r="C46" s="63"/>
      <x:c r="D46" s="63" t="str">
        <x:v>เปลี่ยนข้อมูลทุกหน้าของ report ในส่วนที่เป็น Genral ให้เป็น number เนื่องจากมีผลเวลา pivot ข้อมูลจะไม่มา **ตัวอย่างตามชีส ISSUE#49**</x:v>
      </x:c>
      <x:c r="E46" s="63" t="str">
        <x:v>Medium</x:v>
      </x:c>
      <x:c r="F46" s="65" t="n">
        <x:v>46051</x:v>
      </x:c>
      <x:c r="G46" s="63" t="str">
        <x:v>Pech</x:v>
      </x:c>
      <x:c r="H46" s="63"/>
      <x:c r="I46" s="65"/>
      <x:c r="J46" s="63" t="str"/>
      <x:c r="K46" s="63" t="str"/>
      <x:c r="L46" s="63" t="str">
        <x:f>IF(OR(H46="Done",H46="Cancelled"),"Excluded - "&amp;H46,IF(H46="TBC","TBC / Confirm",IFERROR(VLOOKUP(E46,'Planning Rules'!$A$4:$C$8,3,FALSE),"Backlog - Set Priority")))</x:f>
        <x:v>Sprint 5-6</x:v>
      </x:c>
      <x:c r="M46" s="76" t="n">
        <x:f>IFERROR(VLOOKUP(E46,'Planning Rules'!$A$4:$C$8,2,FALSE),5)</x:f>
        <x:v>3</x:v>
      </x:c>
    </x:row>
    <x:row r="47">
      <x:c r="A47" s="61" t="n">
        <x:v>50</x:v>
      </x:c>
      <x:c r="B47" s="62" t="str">
        <x:v>ISSUE</x:v>
      </x:c>
      <x:c r="C47" s="63" t="str">
        <x:v>Draft PO</x:v>
      </x:c>
      <x:c r="D47" s="63" t="str">
        <x:v>เมื่อใส่ remark ใน Template Upload และ upload ข้อมูลแล้ว / remark ไม่โชว์ในหน้า draft ต้องมา edit เพิ่มในหน้า draft แทน**ตัวอย่างชีส ISSUE#50**</x:v>
      </x:c>
      <x:c r="E47" s="63" t="str">
        <x:v>Medium</x:v>
      </x:c>
      <x:c r="F47" s="65" t="n">
        <x:v>46062</x:v>
      </x:c>
      <x:c r="G47" s="63" t="str">
        <x:v>Pech</x:v>
      </x:c>
      <x:c r="H47" s="63" t="str">
        <x:v>Done</x:v>
      </x:c>
      <x:c r="I47" s="65"/>
      <x:c r="J47" s="63" t="str"/>
      <x:c r="K47" s="63" t="str"/>
      <x:c r="L47" s="63" t="str">
        <x:f>IF(OR(H47="Done",H47="Cancelled"),"Excluded - "&amp;H47,IF(H47="TBC","TBC / Confirm",IFERROR(VLOOKUP(E47,'Planning Rules'!$A$4:$C$8,3,FALSE),"Backlog - Set Priority")))</x:f>
        <x:v>Excluded - Done</x:v>
      </x:c>
      <x:c r="M47" s="76" t="n">
        <x:f>IFERROR(VLOOKUP(E47,'Planning Rules'!$A$4:$C$8,2,FALSE),5)</x:f>
        <x:v>3</x:v>
      </x:c>
    </x:row>
    <x:row r="48">
      <x:c r="A48" s="61" t="n">
        <x:v>51</x:v>
      </x:c>
      <x:c r="B48" s="62" t="str">
        <x:v>ISSUE</x:v>
      </x:c>
      <x:c r="C48" s="63" t="str">
        <x:v>Actual PO</x:v>
      </x:c>
      <x:c r="D48" s="63" t="str">
        <x:v>remark ที่ระบุในหน้า draft po ไม่ขึ้นโชว์ในหน้า actual po **ตัวอย่างชีส ISSUE#51**</x:v>
      </x:c>
      <x:c r="E48" s="63" t="str">
        <x:v>Medium</x:v>
      </x:c>
      <x:c r="F48" s="65" t="n">
        <x:v>46062</x:v>
      </x:c>
      <x:c r="G48" s="63" t="str">
        <x:v>Pech</x:v>
      </x:c>
      <x:c r="H48" s="63" t="str">
        <x:v>Cancelled</x:v>
      </x:c>
      <x:c r="I48" s="65"/>
      <x:c r="J48" s="63" t="str">
        <x:v>ซ้ำกับข้อ 43</x:v>
      </x:c>
      <x:c r="K48" s="63" t="str"/>
      <x:c r="L48" s="63" t="str">
        <x:f>IF(OR(H48="Done",H48="Cancelled"),"Excluded - "&amp;H48,IF(H48="TBC","TBC / Confirm",IFERROR(VLOOKUP(E48,'Planning Rules'!$A$4:$C$8,3,FALSE),"Backlog - Set Priority")))</x:f>
        <x:v>Excluded - Cancelled</x:v>
      </x:c>
      <x:c r="M48" s="76" t="n">
        <x:f>IFERROR(VLOOKUP(E48,'Planning Rules'!$A$4:$C$8,2,FALSE),5)</x:f>
        <x:v>3</x:v>
      </x:c>
    </x:row>
    <x:row r="49">
      <x:c r="A49" s="61" t="n">
        <x:v>52</x:v>
      </x:c>
      <x:c r="B49" s="62" t="str">
        <x:v>ISSUE</x:v>
      </x:c>
      <x:c r="C49" s="63" t="str">
        <x:v>Create Switch</x:v>
      </x:c>
      <x:c r="D49" s="63" t="str">
        <x:v>bulk upload switch รายละเอียดหน้าก่อน confirm มี com/vendor/brand/segment แต่เมื่อ upload results มีเฉพาะ com/vendor **ตัวอย่างชีส ISSUE#52**</x:v>
      </x:c>
      <x:c r="E49" s="63" t="str">
        <x:v>Medium</x:v>
      </x:c>
      <x:c r="F49" s="65" t="n">
        <x:v>46062</x:v>
      </x:c>
      <x:c r="G49" s="63" t="str">
        <x:v>Pech</x:v>
      </x:c>
      <x:c r="H49" s="63"/>
      <x:c r="I49" s="65"/>
      <x:c r="J49" s="63" t="str">
        <x:v>พี่กู่ ดำเนินการ</x:v>
      </x:c>
      <x:c r="K49" s="63" t="str">
        <x:v>กำลังดำเนินการ</x:v>
      </x:c>
      <x:c r="L49" s="63" t="str">
        <x:f>IF(OR(H49="Done",H49="Cancelled"),"Excluded - "&amp;H49,IF(H49="TBC","TBC / Confirm",IFERROR(VLOOKUP(E49,'Planning Rules'!$A$4:$C$8,3,FALSE),"Backlog - Set Priority")))</x:f>
        <x:v>Sprint 5-6</x:v>
      </x:c>
      <x:c r="M49" s="76" t="n">
        <x:f>IFERROR(VLOOKUP(E49,'Planning Rules'!$A$4:$C$8,2,FALSE),5)</x:f>
        <x:v>3</x:v>
      </x:c>
    </x:row>
    <x:row r="50">
      <x:c r="A50" s="61" t="n">
        <x:v>53</x:v>
      </x:c>
      <x:c r="B50" s="62" t="str">
        <x:v>ISSUE</x:v>
      </x:c>
      <x:c r="C50" s="63" t="str">
        <x:v>Create Draft PO</x:v>
      </x:c>
      <x:c r="D50" s="63" t="str">
        <x:v>Refer issue #46 ระบบให้ upload file draft ได้ทั้งที่ budget ไม่พอ ทำให้ remaing ติดลบ</x:v>
      </x:c>
      <x:c r="E50" s="63" t="str">
        <x:v>Very High</x:v>
      </x:c>
      <x:c r="F50" s="65" t="n">
        <x:v>46064</x:v>
      </x:c>
      <x:c r="G50" s="63" t="str">
        <x:v>Pech</x:v>
      </x:c>
      <x:c r="H50" s="63" t="str">
        <x:v>Done</x:v>
      </x:c>
      <x:c r="I50" s="65"/>
      <x:c r="J50" s="63" t="str">
        <x:v>ไม่่แน่ใจว่าเคสนี้แก้หรือยัง</x:v>
      </x:c>
      <x:c r="K50" s="63" t="str"/>
      <x:c r="L50" s="63" t="str">
        <x:f>IF(OR(H50="Done",H50="Cancelled"),"Excluded - "&amp;H50,IF(H50="TBC","TBC / Confirm",IFERROR(VLOOKUP(E50,'Planning Rules'!$A$4:$C$8,3,FALSE),"Backlog - Set Priority")))</x:f>
        <x:v>Excluded - Done</x:v>
      </x:c>
      <x:c r="M50" s="76" t="n">
        <x:f>IFERROR(VLOOKUP(E50,'Planning Rules'!$A$4:$C$8,2,FALSE),5)</x:f>
        <x:v>1</x:v>
      </x:c>
    </x:row>
    <x:row r="51">
      <x:c r="A51" s="61" t="n">
        <x:v>56</x:v>
      </x:c>
      <x:c r="B51" s="62" t="str">
        <x:v>ISSUE</x:v>
      </x:c>
      <x:c r="C51" s="63" t="str">
        <x:v>Match Actual PO</x:v>
      </x:c>
      <x:c r="D51" s="63" t="str">
        <x:v>กรณีหาคู่ไม่เจอ / mannual match ไม่ได้</x:v>
      </x:c>
      <x:c r="E51" s="63" t="str">
        <x:v>Very High</x:v>
      </x:c>
      <x:c r="F51" s="65" t="n">
        <x:v>46071</x:v>
      </x:c>
      <x:c r="G51" s="63" t="str">
        <x:v>Nid</x:v>
      </x:c>
      <x:c r="H51" s="63" t="str">
        <x:v>Done</x:v>
      </x:c>
      <x:c r="I51" s="65"/>
      <x:c r="J51" s="63" t="str"/>
      <x:c r="K51" s="63" t="str"/>
      <x:c r="L51" s="63" t="str">
        <x:f>IF(OR(H51="Done",H51="Cancelled"),"Excluded - "&amp;H51,IF(H51="TBC","TBC / Confirm",IFERROR(VLOOKUP(E51,'Planning Rules'!$A$4:$C$8,3,FALSE),"Backlog - Set Priority")))</x:f>
        <x:v>Excluded - Done</x:v>
      </x:c>
      <x:c r="M51" s="76" t="n">
        <x:f>IFERROR(VLOOKUP(E51,'Planning Rules'!$A$4:$C$8,2,FALSE),5)</x:f>
        <x:v>1</x:v>
      </x:c>
    </x:row>
    <x:row r="52">
      <x:c r="A52" s="61" t="n">
        <x:v>57</x:v>
      </x:c>
      <x:c r="B52" s="62" t="str">
        <x:v>ISSUE</x:v>
      </x:c>
      <x:c r="C52" s="63" t="str">
        <x:v>Draft PO</x:v>
      </x:c>
      <x:c r="D52" s="63" t="str">
        <x:v>รายการตอนอัปโหลดไฟล์ดราฟ ช่อง No. ยังไม่เริ่มที่ลำดับตาม excel</x:v>
      </x:c>
      <x:c r="E52" s="63" t="str">
        <x:v>Medium</x:v>
      </x:c>
      <x:c r="F52" s="65" t="n">
        <x:v>46079</x:v>
      </x:c>
      <x:c r="G52" s="63" t="str">
        <x:v>Pech</x:v>
      </x:c>
      <x:c r="H52" s="63" t="str">
        <x:v>Done</x:v>
      </x:c>
      <x:c r="I52" s="65"/>
      <x:c r="J52" s="63" t="str"/>
      <x:c r="K52" s="63" t="str"/>
      <x:c r="L52" s="63" t="str">
        <x:f>IF(OR(H52="Done",H52="Cancelled"),"Excluded - "&amp;H52,IF(H52="TBC","TBC / Confirm",IFERROR(VLOOKUP(E52,'Planning Rules'!$A$4:$C$8,3,FALSE),"Backlog - Set Priority")))</x:f>
        <x:v>Excluded - Done</x:v>
      </x:c>
      <x:c r="M52" s="76" t="n">
        <x:f>IFERROR(VLOOKUP(E52,'Planning Rules'!$A$4:$C$8,2,FALSE),5)</x:f>
        <x:v>3</x:v>
      </x:c>
    </x:row>
    <x:row r="53">
      <x:c r="A53" s="61" t="n">
        <x:v>58</x:v>
      </x:c>
      <x:c r="B53" s="62" t="str">
        <x:v>ADJUST</x:v>
      </x:c>
      <x:c r="C53" s="63" t="str">
        <x:v>Create Switch</x:v>
      </x:c>
      <x:c r="D53" s="63" t="str">
        <x:v>กรณีทำรายการ switch ถ้าไม่ใช่เดือนเดียวกันให้ไฮไลท์สีเหลือง และมี remark warning ว่า "เดือนไม่สอดคล้องกัน"</x:v>
      </x:c>
      <x:c r="E53" s="63" t="str">
        <x:v>Very High</x:v>
      </x:c>
      <x:c r="F53" s="65" t="n">
        <x:v>46079</x:v>
      </x:c>
      <x:c r="G53" s="63" t="str">
        <x:v>Nid</x:v>
      </x:c>
      <x:c r="H53" s="63"/>
      <x:c r="I53" s="65"/>
      <x:c r="J53" s="63" t="str"/>
      <x:c r="K53" s="63" t="str"/>
      <x:c r="L53" s="63" t="str">
        <x:f>IF(OR(H53="Done",H53="Cancelled"),"Excluded - "&amp;H53,IF(H53="TBC","TBC / Confirm",IFERROR(VLOOKUP(E53,'Planning Rules'!$A$4:$C$8,3,FALSE),"Backlog - Set Priority")))</x:f>
        <x:v>Sprint 1-3</x:v>
      </x:c>
      <x:c r="M53" s="76" t="n">
        <x:f>IFERROR(VLOOKUP(E53,'Planning Rules'!$A$4:$C$8,2,FALSE),5)</x:f>
        <x:v>1</x:v>
      </x:c>
    </x:row>
    <x:row r="54">
      <x:c r="A54" s="61" t="n">
        <x:v>59</x:v>
      </x:c>
      <x:c r="B54" s="62" t="str">
        <x:v>CR</x:v>
      </x:c>
      <x:c r="C54" s="63" t="str">
        <x:v>Switch TXN</x:v>
      </x:c>
      <x:c r="D54" s="63" t="str">
        <x:v>field create date ของหน้า switch transaction ตรง time stamp ขอหลักวินาทีด้วย</x:v>
      </x:c>
      <x:c r="E54" s="63" t="str">
        <x:v>Medium</x:v>
      </x:c>
      <x:c r="F54" s="65" t="n">
        <x:v>46079</x:v>
      </x:c>
      <x:c r="G54" s="63" t="str">
        <x:v>Pech</x:v>
      </x:c>
      <x:c r="H54" s="63" t="str">
        <x:v>Done</x:v>
      </x:c>
      <x:c r="I54" s="65"/>
      <x:c r="J54" s="63" t="str"/>
      <x:c r="K54" s="63" t="str"/>
      <x:c r="L54" s="63" t="str">
        <x:f>IF(OR(H54="Done",H54="Cancelled"),"Excluded - "&amp;H54,IF(H54="TBC","TBC / Confirm",IFERROR(VLOOKUP(E54,'Planning Rules'!$A$4:$C$8,3,FALSE),"Backlog - Set Priority")))</x:f>
        <x:v>Excluded - Done</x:v>
      </x:c>
      <x:c r="M54" s="76" t="n">
        <x:f>IFERROR(VLOOKUP(E54,'Planning Rules'!$A$4:$C$8,2,FALSE),5)</x:f>
        <x:v>3</x:v>
      </x:c>
    </x:row>
    <x:row r="55">
      <x:c r="A55" s="61" t="n">
        <x:v>60</x:v>
      </x:c>
      <x:c r="B55" s="62" t="str">
        <x:v>CR</x:v>
      </x:c>
      <x:c r="C55" s="63" t="str">
        <x:v>Create Draft PO</x:v>
      </x:c>
      <x:c r="D55" s="63" t="str">
        <x:v>ระบบสามารถดึง rate po ในระบบ sap มาได้</x:v>
      </x:c>
      <x:c r="E55" s="63" t="str">
        <x:v>Very High</x:v>
      </x:c>
      <x:c r="F55" s="65"/>
      <x:c r="G55" s="63" t="str">
        <x:v>Pech</x:v>
      </x:c>
      <x:c r="H55" s="63" t="str">
        <x:v>Cancelled</x:v>
      </x:c>
      <x:c r="I55" s="65"/>
      <x:c r="J55" s="63" t="str">
        <x:v>user ขอพิจารณาอีกครั้ง</x:v>
      </x:c>
      <x:c r="K55" s="63" t="str">
        <x:v>ต้องยืนยัน/ตัดสินใจ</x:v>
      </x:c>
      <x:c r="L55" s="63" t="str">
        <x:f>IF(OR(H55="Done",H55="Cancelled"),"Excluded - "&amp;H55,IF(H55="TBC","TBC / Confirm",IFERROR(VLOOKUP(E55,'Planning Rules'!$A$4:$C$8,3,FALSE),"Backlog - Set Priority")))</x:f>
        <x:v>Excluded - Cancelled</x:v>
      </x:c>
      <x:c r="M55" s="76" t="n">
        <x:f>IFERROR(VLOOKUP(E55,'Planning Rules'!$A$4:$C$8,2,FALSE),5)</x:f>
        <x:v>1</x:v>
      </x:c>
    </x:row>
    <x:row r="56">
      <x:c r="A56" s="61" t="n">
        <x:v>61</x:v>
      </x:c>
      <x:c r="B56" s="62" t="str">
        <x:v>ISSUE</x:v>
      </x:c>
      <x:c r="C56" s="63" t="str">
        <x:v>Create Draft PO</x:v>
      </x:c>
      <x:c r="D56" s="63" t="str">
        <x:v>เมื่ออัปโหลดไฟล์ดราฟแล้ว budget ไม่พอ ระบบแจ้งเตือนหน้าต่างโดยข้อความที่แจ้งไม่สอดคล้องกัน (อัปโหลดคนละแบรนด์) **ตัวอย่างชีส ISSUE#61**</x:v>
      </x:c>
      <x:c r="E56" s="63" t="str">
        <x:v>Medium</x:v>
      </x:c>
      <x:c r="F56" s="65" t="n">
        <x:v>46091</x:v>
      </x:c>
      <x:c r="G56" s="63" t="str">
        <x:v>Pech</x:v>
      </x:c>
      <x:c r="H56" s="63" t="str">
        <x:v>Done</x:v>
      </x:c>
      <x:c r="I56" s="65"/>
      <x:c r="J56" s="63" t="str"/>
      <x:c r="K56" s="63" t="str"/>
      <x:c r="L56" s="63" t="str">
        <x:f>IF(OR(H56="Done",H56="Cancelled"),"Excluded - "&amp;H56,IF(H56="TBC","TBC / Confirm",IFERROR(VLOOKUP(E56,'Planning Rules'!$A$4:$C$8,3,FALSE),"Backlog - Set Priority")))</x:f>
        <x:v>Excluded - Done</x:v>
      </x:c>
      <x:c r="M56" s="76" t="n">
        <x:f>IFERROR(VLOOKUP(E56,'Planning Rules'!$A$4:$C$8,2,FALSE),5)</x:f>
        <x:v>3</x:v>
      </x:c>
    </x:row>
    <x:row r="57">
      <x:c r="A57" s="61" t="n">
        <x:v>62</x:v>
      </x:c>
      <x:c r="B57" s="62" t="str">
        <x:v>CR</x:v>
      </x:c>
      <x:c r="C57" s="63" t="str">
        <x:v>Switch TXN</x:v>
      </x:c>
      <x:c r="D57" s="63" t="str">
        <x:v>ยก balance ในระบบ KBMS ได้อัติโนมัติ</x:v>
      </x:c>
      <x:c r="E57" s="63" t="str">
        <x:v>Very High</x:v>
      </x:c>
      <x:c r="F57" s="65" t="n">
        <x:v>46195</x:v>
      </x:c>
      <x:c r="G57" s="63" t="str">
        <x:v>Pech</x:v>
      </x:c>
      <x:c r="H57" s="63" t="str">
        <x:v>Cancelled</x:v>
      </x:c>
      <x:c r="I57" s="65"/>
      <x:c r="J57" s="63" t="str">
        <x:v>** ปัจจุบันไม่ได้ยกทั้งหมดได้แบบเดิม</x:v>
      </x:c>
      <x:c r="K57" s="63" t="str"/>
      <x:c r="L57" s="63" t="str">
        <x:f>IF(OR(H57="Done",H57="Cancelled"),"Excluded - "&amp;H57,IF(H57="TBC","TBC / Confirm",IFERROR(VLOOKUP(E57,'Planning Rules'!$A$4:$C$8,3,FALSE),"Backlog - Set Priority")))</x:f>
        <x:v>Excluded - Cancelled</x:v>
      </x:c>
      <x:c r="M57" s="76" t="n">
        <x:f>IFERROR(VLOOKUP(E57,'Planning Rules'!$A$4:$C$8,2,FALSE),5)</x:f>
        <x:v>1</x:v>
      </x:c>
    </x:row>
    <x:row r="58">
      <x:c r="A58" s="61" t="n">
        <x:v>64</x:v>
      </x:c>
      <x:c r="B58" s="62" t="str">
        <x:v>ADJUST</x:v>
      </x:c>
      <x:c r="C58" s="63" t="str">
        <x:v>Create Switch</x:v>
      </x:c>
      <x:c r="D58" s="63" t="str">
        <x:v>อ้างอิงตามข้อ 58 : เมื่อ switch budget ตอนหน้า previwe หากมีจุดทศนิยม ให้ระบบ ไฮไลท์สีเหลือง เพื่อแจ้งเตือนให้รีวิวยอดอีกครั้ง</x:v>
      </x:c>
      <x:c r="E58" s="63" t="str">
        <x:v>Very High</x:v>
      </x:c>
      <x:c r="F58" s="65" t="n">
        <x:v>46195</x:v>
      </x:c>
      <x:c r="G58" s="63" t="str">
        <x:v>Nid</x:v>
      </x:c>
      <x:c r="H58" s="63"/>
      <x:c r="I58" s="65"/>
      <x:c r="J58" s="63" t="str">
        <x:v>พี่ี่กู่ ดำเนินการ</x:v>
      </x:c>
      <x:c r="K58" s="63" t="str">
        <x:v>กำลังดำเนินการ</x:v>
      </x:c>
      <x:c r="L58" s="63" t="str">
        <x:f>IF(OR(H58="Done",H58="Cancelled"),"Excluded - "&amp;H58,IF(H58="TBC","TBC / Confirm",IFERROR(VLOOKUP(E58,'Planning Rules'!$A$4:$C$8,3,FALSE),"Backlog - Set Priority")))</x:f>
        <x:v>Sprint 1-3</x:v>
      </x:c>
      <x:c r="M58" s="76" t="n">
        <x:f>IFERROR(VLOOKUP(E58,'Planning Rules'!$A$4:$C$8,2,FALSE),5)</x:f>
        <x:v>1</x:v>
      </x:c>
    </x:row>
    <x:row r="59">
      <x:c r="A59" s="61" t="n">
        <x:v>65</x:v>
      </x:c>
      <x:c r="B59" s="62" t="str">
        <x:v>ISSUE</x:v>
      </x:c>
      <x:c r="C59" s="63" t="str">
        <x:v>Draft OTB</x:v>
      </x:c>
      <x:c r="D59" s="63" t="str">
        <x:v>ตอนอัปโหลด plan budget / revised / switch ไม่สามารถอัปโหลดข้อมูลที่มีมากกว่า 300 บรรทัดได้</x:v>
      </x:c>
      <x:c r="E59" s="63" t="str">
        <x:v>Very High</x:v>
      </x:c>
      <x:c r="F59" s="65" t="n">
        <x:v>46195</x:v>
      </x:c>
      <x:c r="G59" s="63" t="str">
        <x:v>Pech</x:v>
      </x:c>
      <x:c r="H59" s="63"/>
      <x:c r="I59" s="65"/>
      <x:c r="J59" s="63" t="str">
        <x:v>High!!!!!!!! พี่กู่ รีบดำเนินการ</x:v>
      </x:c>
      <x:c r="K59" s="63" t="str">
        <x:v>เร่งด่วนตาม Remark</x:v>
      </x:c>
      <x:c r="L59" s="63" t="str">
        <x:f>IF(OR(H59="Done",H59="Cancelled"),"Excluded - "&amp;H59,IF(H59="TBC","TBC / Confirm",IFERROR(VLOOKUP(E59,'Planning Rules'!$A$4:$C$8,3,FALSE),"Backlog - Set Priority")))</x:f>
        <x:v>Sprint 1-3</x:v>
      </x:c>
      <x:c r="M59" s="76" t="n">
        <x:f>IFERROR(VLOOKUP(E59,'Planning Rules'!$A$4:$C$8,2,FALSE),5)</x:f>
        <x:v>1</x:v>
      </x:c>
    </x:row>
    <x:row r="60">
      <x:c r="A60" s="61" t="n">
        <x:v>66</x:v>
      </x:c>
      <x:c r="B60" s="62" t="str">
        <x:v>ISSUE</x:v>
      </x:c>
      <x:c r="C60" s="63" t="str">
        <x:v>Create Switch</x:v>
      </x:c>
      <x:c r="D60" s="63" t="str">
        <x:v>อ้ัปโหลด extra ใน bulk upload ยังไม่ได้</x:v>
      </x:c>
      <x:c r="E60" s="63" t="str">
        <x:v>Very High</x:v>
      </x:c>
      <x:c r="F60" s="65" t="n">
        <x:v>46202</x:v>
      </x:c>
      <x:c r="G60" s="63"/>
      <x:c r="H60" s="63" t="str">
        <x:v>Done</x:v>
      </x:c>
      <x:c r="I60" s="65"/>
      <x:c r="J60" s="63" t="str"/>
      <x:c r="K60" s="63" t="str"/>
      <x:c r="L60" s="63" t="str">
        <x:f>IF(OR(H60="Done",H60="Cancelled"),"Excluded - "&amp;H60,IF(H60="TBC","TBC / Confirm",IFERROR(VLOOKUP(E60,'Planning Rules'!$A$4:$C$8,3,FALSE),"Backlog - Set Priority")))</x:f>
        <x:v>Excluded - Done</x:v>
      </x:c>
      <x:c r="M60" s="76" t="n">
        <x:f>IFERROR(VLOOKUP(E60,'Planning Rules'!$A$4:$C$8,2,FALSE),5)</x:f>
        <x:v>1</x:v>
      </x:c>
    </x:row>
    <x:row r="61">
      <x:c r="A61" s="61" t="n">
        <x:v>67</x:v>
      </x:c>
      <x:c r="B61" s="62" t="str">
        <x:v>ISSUE</x:v>
      </x:c>
      <x:c r="C61" s="63" t="str">
        <x:v>Match Actual PO</x:v>
      </x:c>
      <x:c r="D61" s="63" t="str">
        <x:v>แก้ไขหัวข้อในช่อง actual po date เป็น delivery date **ตัวอย่างชีส67**</x:v>
      </x:c>
      <x:c r="E61" s="63" t="str">
        <x:v>Unspecified</x:v>
      </x:c>
      <x:c r="F61" s="65" t="n">
        <x:v>46206</x:v>
      </x:c>
      <x:c r="G61" s="63"/>
      <x:c r="H61" s="63" t="str">
        <x:v>TBC</x:v>
      </x:c>
      <x:c r="I61" s="65"/>
      <x:c r="J61" s="63" t="str">
        <x:v>เพชรกับพี่ี่นิดจะมา Confirm ว่าจะเอา Actual PO Date ไหม</x:v>
      </x:c>
      <x:c r="K61" s="63" t="str">
        <x:v>ต้องยืนยัน/ตัดสินใจ</x:v>
      </x:c>
      <x:c r="L61" s="63" t="str">
        <x:f>IF(OR(H61="Done",H61="Cancelled"),"Excluded - "&amp;H61,IF(H61="TBC","TBC / Confirm",IFERROR(VLOOKUP(E61,'Planning Rules'!$A$4:$C$8,3,FALSE),"Backlog - Set Priority")))</x:f>
        <x:v>TBC / Confirm</x:v>
      </x:c>
      <x:c r="M61" s="76" t="n">
        <x:f>IFERROR(VLOOKUP(E61,'Planning Rules'!$A$4:$C$8,2,FALSE),5)</x:f>
        <x:v>5</x:v>
      </x:c>
    </x:row>
    <x:row r="62">
      <x:c r="A62" s="61" t="n">
        <x:v>68</x:v>
      </x:c>
      <x:c r="B62" s="62" t="str">
        <x:v>ISSUE</x:v>
      </x:c>
      <x:c r="C62" s="63" t="str">
        <x:v>Draft OTB</x:v>
      </x:c>
      <x:c r="D62" s="63" t="str">
        <x:v>ตอนกด Approve OTB ไม่สามารถดำเนินการได้</x:v>
      </x:c>
      <x:c r="E62" s="63" t="str">
        <x:v>Very High</x:v>
      </x:c>
      <x:c r="F62" s="65" t="n">
        <x:v>46238</x:v>
      </x:c>
      <x:c r="G62" s="63" t="str">
        <x:v>Pech</x:v>
      </x:c>
      <x:c r="H62" s="63"/>
      <x:c r="I62" s="65"/>
      <x:c r="J62" s="63" t="str">
        <x:v>High!!!!!!!! พี่กู่ รีบดำเนินการ</x:v>
      </x:c>
      <x:c r="K62" s="63" t="str">
        <x:v>เร่งด่วนตาม Remark</x:v>
      </x:c>
      <x:c r="L62" s="63" t="str">
        <x:f>IF(OR(H62="Done",H62="Cancelled"),"Excluded - "&amp;H62,IF(H62="TBC","TBC / Confirm",IFERROR(VLOOKUP(E62,'Planning Rules'!$A$4:$C$8,3,FALSE),"Backlog - Set Priority")))</x:f>
        <x:v>Sprint 1-3</x:v>
      </x:c>
      <x:c r="M62" s="76" t="n">
        <x:f>IFERROR(VLOOKUP(E62,'Planning Rules'!$A$4:$C$8,2,FALSE),5)</x:f>
        <x:v>1</x:v>
      </x:c>
    </x:row>
    <x:row r="63">
      <x:c r="A63" s="67" t="n">
        <x:v>69</x:v>
      </x:c>
      <x:c r="B63" s="68" t="str">
        <x:v>CR</x:v>
      </x:c>
      <x:c r="C63" s="69" t="str">
        <x:v>Draft OTB</x:v>
      </x:c>
      <x:c r="D63" s="69" t="str">
        <x:v>ตอน Preview เพื่อ submit ไป SAP อยากให้มีสรุป ยอด diff, ยอด revised, ยอด total budget,</x:v>
      </x:c>
      <x:c r="E63" s="69" t="str">
        <x:v>Very High</x:v>
      </x:c>
      <x:c r="F63" s="71" t="n">
        <x:v>46238</x:v>
      </x:c>
      <x:c r="G63" s="69" t="str">
        <x:v>Nid</x:v>
      </x:c>
      <x:c r="H63" s="69"/>
      <x:c r="I63" s="71"/>
      <x:c r="J63" s="69" t="str">
        <x:v>พี่ี่กู่ ดำเนินการ</x:v>
      </x:c>
      <x:c r="K63" s="69" t="str">
        <x:v>กำลังดำเนินการ</x:v>
      </x:c>
      <x:c r="L63" s="69" t="str">
        <x:f>IF(OR(H63="Done",H63="Cancelled"),"Excluded - "&amp;H63,IF(H63="TBC","TBC / Confirm",IFERROR(VLOOKUP(E63,'Planning Rules'!$A$4:$C$8,3,FALSE),"Backlog - Set Priority")))</x:f>
        <x:v>Sprint 1-3</x:v>
      </x:c>
      <x:c r="M63" s="77" t="n">
        <x:f>IFERROR(VLOOKUP(E63,'Planning Rules'!$A$4:$C$8,2,FALSE),5)</x:f>
        <x:v>1</x:v>
      </x:c>
    </x:row>
  </x:sheetData>
  <x:pageMargins left="0.7" right="0.7" top="0.75" bottom="0.75" header="0.3" footer="0.3"/>
  <x:tableParts count="1">
    <x:tablePart xmlns:r="http://schemas.openxmlformats.org/officeDocument/2006/relationships" r:id="R8e3941e3df824fa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24" hidden="0" customWidth="1"/>
    <x:col min="3" max="3" width="24" hidden="0" customWidth="1"/>
    <x:col min="4" max="4" width="10" hidden="0" customWidth="1"/>
    <x:col min="5" max="5" width="18" hidden="0" customWidth="1"/>
    <x:col min="6" max="6" width="50" hidden="0" customWidth="1"/>
  </x:cols>
  <x:sheetData>
    <x:row r="1" ht="15" hidden="0" customHeight="1">
      <x:c r="A1" s="23" t="str">
        <x:v>KBMS Sprint Planning Rules</x:v>
      </x:c>
      <x:c r="B1" s="23"/>
      <x:c r="C1" s="23"/>
      <x:c r="D1" s="23"/>
      <x:c r="E1" s="23"/>
      <x:c r="F1" s="23"/>
    </x:row>
    <x:row r="2" ht="15" hidden="0" customHeight="1">
      <x:c r="A2" s="24"/>
      <x:c r="B2" s="24"/>
      <x:c r="C2" s="24"/>
      <x:c r="D2" s="24"/>
      <x:c r="E2" s="24"/>
      <x:c r="F2" s="24"/>
    </x:row>
    <x:row r="3" ht="15" hidden="0" customHeight="1">
      <x:c r="A3" s="12" t="str">
        <x:v>Priority</x:v>
      </x:c>
      <x:c r="B3" s="13" t="str">
        <x:v>Rank</x:v>
      </x:c>
      <x:c r="C3" s="14" t="str">
        <x:v>Default queue</x:v>
      </x:c>
      <x:c r="D3" s="24"/>
      <x:c r="E3" s="12" t="str">
        <x:v>Remark signal</x:v>
      </x:c>
      <x:c r="F3" s="14" t="str">
        <x:v>Planning use</x:v>
      </x:c>
    </x:row>
    <x:row r="4" ht="15" hidden="0" customHeight="1">
      <x:c r="A4" s="24" t="str">
        <x:v>Very High</x:v>
      </x:c>
      <x:c r="B4" s="24" t="n">
        <x:v>1</x:v>
      </x:c>
      <x:c r="C4" s="24" t="str">
        <x:v>Sprint 1-3</x:v>
      </x:c>
      <x:c r="D4" s="24"/>
      <x:c r="E4" s="24" t="str">
        <x:v>รีบ / High!!!!</x:v>
      </x:c>
      <x:c r="F4" s="24" t="str">
        <x:v>จัดก่อนภายใน Priority เดียวกัน</x:v>
      </x:c>
    </x:row>
    <x:row r="5" ht="15" hidden="0" customHeight="1">
      <x:c r="A5" s="24" t="str">
        <x:v>High</x:v>
      </x:c>
      <x:c r="B5" s="24" t="n">
        <x:v>2</x:v>
      </x:c>
      <x:c r="C5" s="24" t="str">
        <x:v>Sprint 3-5</x:v>
      </x:c>
      <x:c r="D5" s="24"/>
      <x:c r="E5" s="24" t="str">
        <x:v>ดำเนินการ</x:v>
      </x:c>
      <x:c r="F5" s="24" t="str">
        <x:v>จัดต้น Sprint เพื่อทำต่อเนื่อง</x:v>
      </x:c>
    </x:row>
    <x:row r="6" ht="26.399999618530273" hidden="0" customHeight="1">
      <x:c r="A6" s="24" t="str">
        <x:v>Medium</x:v>
      </x:c>
      <x:c r="B6" s="24" t="n">
        <x:v>3</x:v>
      </x:c>
      <x:c r="C6" s="24" t="str">
        <x:v>Sprint 5-6</x:v>
      </x:c>
      <x:c r="D6" s="24"/>
      <x:c r="E6" s="24" t="str">
        <x:v>Confirm / ไม่แน่ใจ / พิจารณา</x:v>
      </x:c>
      <x:c r="F6" s="24" t="str">
        <x:v>แยก TBC จนกว่าจะตัดสินใจ</x:v>
      </x:c>
    </x:row>
    <x:row r="7" ht="15" hidden="0" customHeight="1">
      <x:c r="A7" s="24" t="str">
        <x:v>Low</x:v>
      </x:c>
      <x:c r="B7" s="24" t="n">
        <x:v>4</x:v>
      </x:c>
      <x:c r="C7" s="24" t="str">
        <x:v>Sprint 6-7</x:v>
      </x:c>
      <x:c r="D7" s="24"/>
      <x:c r="E7" s="24" t="str">
        <x:v>Investigate / ยาก</x:v>
      </x:c>
      <x:c r="F7" s="24" t="str">
        <x:v>วางท้ายกลุ่มและทำ Technical Spike ก่อน</x:v>
      </x:c>
    </x:row>
    <x:row r="8" ht="15" hidden="0" customHeight="1">
      <x:c r="A8" s="24" t="str">
        <x:v>Unspecified</x:v>
      </x:c>
      <x:c r="B8" s="24" t="n">
        <x:v>5</x:v>
      </x:c>
      <x:c r="C8" s="24" t="str">
        <x:v>Backlog - Set Priority</x:v>
      </x:c>
      <x:c r="D8" s="24"/>
      <x:c r="E8" s="24" t="str">
        <x:v>งานเกี่ยวข้องกัน</x:v>
      </x:c>
      <x:c r="F8" s="24" t="str">
        <x:v>รวมใน Sprint เดียวกันเพื่อลด Context switching</x:v>
      </x:c>
    </x:row>
    <x:row r="9" ht="15" hidden="0" customHeight="1">
      <x:c r="A9" s="24"/>
      <x:c r="B9" s="24"/>
      <x:c r="C9" s="24"/>
      <x:c r="D9" s="24"/>
      <x:c r="E9" s="24" t="str">
        <x:v>Done / Cancelled</x:v>
      </x:c>
      <x:c r="F9" s="24" t="str">
        <x:v>ไม่นำมาวางแผน Sprint</x:v>
      </x:c>
    </x:row>
    <x:row r="10" ht="15" hidden="0" customHeight="1">
      <x:c r="A10" s="24"/>
      <x:c r="B10" s="24"/>
      <x:c r="C10" s="24"/>
      <x:c r="D10" s="24"/>
      <x:c r="E10" s="24"/>
      <x:c r="F10" s="24"/>
    </x:row>
    <x:row r="11" ht="15" hidden="0" customHeight="1">
      <x:c r="A11" s="17" t="str">
        <x:v>Capacity model: Sprint 2 สัปดาห์, ผู้ทำงาน 1 คนใช้ Codex ช่วยพัฒนา, คนเดิม Review/Verify และ Regression Test; จำกัดที่ 8 Capacity Points ต่อ Sprint และ Estimate รวมเวลาตรวจสอบแล้ว</x:v>
      </x:c>
      <x:c r="B11" s="17"/>
      <x:c r="C11" s="17"/>
      <x:c r="D11" s="17"/>
      <x:c r="E11" s="17"/>
      <x:c r="F11" s="17"/>
    </x:row>
    <x:row r="12" ht="15" hidden="0" customHeight="1">
      <x:c r="A12" s="24"/>
      <x:c r="B12" s="24"/>
      <x:c r="C12" s="24"/>
      <x:c r="D12" s="24"/>
      <x:c r="E12" s="24"/>
      <x:c r="F12" s="24"/>
    </x:row>
    <x:row r="13" ht="15" hidden="0" customHeight="1">
      <x:c r="A13" s="25" t="str">
        <x:v>Capacity assumptions &amp; sizing guide</x:v>
      </x:c>
      <x:c r="B13" s="25"/>
      <x:c r="C13" s="25"/>
      <x:c r="D13" s="25"/>
      <x:c r="E13" s="25"/>
      <x:c r="F13" s="25"/>
    </x:row>
    <x:row r="14" ht="15" hidden="0" customHeight="1">
      <x:c r="A14" s="26" t="str">
        <x:v>Sprint length</x:v>
      </x:c>
      <x:c r="B14" s="24" t="str">
        <x:v>2 weeks</x:v>
      </x:c>
      <x:c r="C14" s="24"/>
      <x:c r="D14" s="12" t="str">
        <x:v>Points</x:v>
      </x:c>
      <x:c r="E14" s="13" t="str">
        <x:v>Size</x:v>
      </x:c>
      <x:c r="F14" s="14" t="str">
        <x:v>Meaning</x:v>
      </x:c>
    </x:row>
    <x:row r="15" ht="15" hidden="0" customHeight="1">
      <x:c r="A15" s="26" t="str">
        <x:v>Gross working days</x:v>
      </x:c>
      <x:c r="B15" s="24" t="n">
        <x:v>10</x:v>
      </x:c>
      <x:c r="C15" s="24"/>
      <x:c r="D15" s="24" t="n">
        <x:v>1</x:v>
      </x:c>
      <x:c r="E15" s="24" t="str">
        <x:v>XS</x:v>
      </x:c>
      <x:c r="F15" s="24" t="str">
        <x:v>Reuse/very small change</x:v>
      </x:c>
    </x:row>
    <x:row r="16" ht="15" hidden="0" customHeight="1">
      <x:c r="A16" s="26" t="str">
        <x:v>Planned capacity</x:v>
      </x:c>
      <x:c r="B16" s="24" t="n">
        <x:v>8</x:v>
      </x:c>
      <x:c r="C16" s="24"/>
      <x:c r="D16" s="24" t="n">
        <x:v>2</x:v>
      </x:c>
      <x:c r="E16" s="24" t="str">
        <x:v>S</x:v>
      </x:c>
      <x:c r="F16" s="24" t="str">
        <x:v>Small change + focused verify</x:v>
      </x:c>
    </x:row>
    <x:row r="17" ht="15" hidden="0" customHeight="1">
      <x:c r="A17" s="26" t="str">
        <x:v>Implementation</x:v>
      </x:c>
      <x:c r="B17" s="24" t="str">
        <x:v>Codex-assisted</x:v>
      </x:c>
      <x:c r="C17" s="24"/>
      <x:c r="D17" s="24" t="n">
        <x:v>3</x:v>
      </x:c>
      <x:c r="E17" s="24" t="str">
        <x:v>M</x:v>
      </x:c>
      <x:c r="F17" s="24" t="str">
        <x:v>Medium change + regression</x:v>
      </x:c>
    </x:row>
    <x:row r="18" ht="26.399999618530273" hidden="0" customHeight="1">
      <x:c r="A18" s="26" t="str">
        <x:v>Verification</x:v>
      </x:c>
      <x:c r="B18" s="24" t="str">
        <x:v>Same person; included in points</x:v>
      </x:c>
      <x:c r="C18" s="24"/>
      <x:c r="D18" s="24" t="n">
        <x:v>5</x:v>
      </x:c>
      <x:c r="E18" s="24" t="str">
        <x:v>L</x:v>
      </x:c>
      <x:c r="F18" s="24" t="str">
        <x:v>Broad/uncertain change + wide regression</x:v>
      </x:c>
    </x:row>
  </x:sheetData>
  <x:mergeCells>
    <x:mergeCell ref="A1:F1"/>
    <x:mergeCell ref="A11:F11"/>
    <x:mergeCell ref="A13:F13"/>
  </x:mergeCells>
  <x:pageMargins left="0.7" right="0.7" top="0.75" bottom="0.75" header="0.3" footer="0.3"/>
</x:worksheet>
</file>